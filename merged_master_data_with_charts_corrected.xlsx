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ata" sheetId="1" state="visible" r:id="rId3"/>
    <sheet name="Correlation Resul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<sst xmlns="http://schemas.openxmlformats.org/spreadsheetml/2006/main" count="98" uniqueCount="94">
  <si>
    <t xml:space="preserve">State</t>
  </si>
  <si>
    <t xml:space="preserve">HRSA Total Designations</t>
  </si>
  <si>
    <t xml:space="preserve">HRSA Population of Designated HPSAs</t>
  </si>
  <si>
    <t xml:space="preserve">HRSA Percent of Need Met (%)</t>
  </si>
  <si>
    <t xml:space="preserve">ADHD Prevalence (%)</t>
  </si>
  <si>
    <t xml:space="preserve">ADHD Received Treatment (%)</t>
  </si>
  <si>
    <t xml:space="preserve">ADHD Did Not Receive Treatment (%)</t>
  </si>
  <si>
    <t xml:space="preserve">ADHD Unmet Need Rate (%)</t>
  </si>
  <si>
    <t xml:space="preserve">Autism Prevalence (%)</t>
  </si>
  <si>
    <t xml:space="preserve">Autism Received Treatment (%)</t>
  </si>
  <si>
    <t xml:space="preserve">Autism Did Not Receive Treatment (%)</t>
  </si>
  <si>
    <t xml:space="preserve">Autism Unmet Need Rate (%)</t>
  </si>
  <si>
    <t xml:space="preserve">Pct Need Met (excl. DC and Vermont) - chart helper</t>
  </si>
  <si>
    <t xml:space="preserve">Pct Need Met (DC only) - chart helper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</si>
  <si>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</si>
  <si>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</si>
  <si>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</si>
  <si>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</si>
  <si>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</si>
  <si>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</si>
  <si>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</si>
  <si>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</si>
  <si>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</si>
  <si>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</si>
  <si>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</si>
  <si>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</si>
  <si>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</si>
  <si>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</si>
  <si>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</si>
  <si>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</si>
  <si>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</si>
  <si>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</si>
  <si>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</si>
  <si>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</si>
  <si>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</si>
  <si>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</si>
  <si>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</si>
  <si>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</si>
  <si>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</si>
  <si>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</si>
  <si>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</si>
  <si>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</si>
  <si>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</si>
  <si>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</si>
  <si>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</si>
  <si>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</si>
  <si>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</si>
  <si>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</si>
  <si>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</si>
  <si>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</si>
  <si>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</si>
  <si>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</si>
  <si>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</si>
  <si>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</si>
  <si>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</si>
  <si>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</si>
  <si>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</si>
  <si>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Note: trendline fit on states excluding DC and Vermont. Neither relationship is statistically significant at n = 49 (ADHD p = 0.25, Autism p = 0.11), though both trend in the expected (negative) direction.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</si>
  <si>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</si>
  <si>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</si>
  <si>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</si>
  <si>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</si>
  <si>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</si>
  <si>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</si>
  <si>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</si>
  <si>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</si>
  <si>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COLUMN DEFINITIONS:</t>
  </si>
  <si>
    <t xml:space="preserve">HRSA Percent of Need Met = share of the mental health provider shortage in a state that is currently being met (lower = worse shortage). Source: HRSA Bureau of Health Workforce, Designated HPSA Quarterly Summary, Table 5.</t>
  </si>
  <si>
    <t xml:space="preserve">ADHD / Autism Prevalence = % of children ages 3-17 in the state currently diagnosed with the condition. Source: NSCH 2023-2024, Indicators 2.7 and 2.8.</t>
  </si>
  <si>
    <t xml:space="preserve">ADHD / Autism Unmet Need Rate = of children WITH the diagnosis, the % who did NOT receive behavioral treatment in the past 12 months. This is a formula (not a typed-in number), calculated as Did Not Receive / (Received + Did Not Receive) x 100. Source: NSCH 2023-2024, Indicators 2.7c and 2.8c.</t>
  </si>
  <si>
    <t xml:space="preserve">DATA QUALITY NOTE: Vermont has no HRSA Population/Percent of Need Met figures because the source report left these blank for that state this quarter. Vermont is therefore excluded from all correlations and charts (n = 50 including DC, 49 excluding DC).</t>
  </si>
  <si>
    <t xml:space="preserve">DATA QUALITY NOTE: Some state-level NSCH estimates (especially in smaller states) carry wide confidence intervals due to smaller survey sample sizes. Treat single-state outliers with caution.</t>
  </si>
  <si>
    <t xml:space="preserve">CHART HELPER NOTE: Columns M and N return #N/A on purpose for rows that should not appear in a given chart series. Excel scatter charts skip #N/A points, whereas blanks or 0 values would be plotted.</t>
  </si>
  <si>
    <t xml:space="preserve">DATA VINTAGE: HRSA figures are from the Designated HPSA Quarterly Summary, Table 5, 07/01/2024 quarter (national mental health total 26.74% of need met). NSCH figures are from the 2023-2024 survey.</t>
  </si>
  <si>
    <t xml:space="preserve">ROUNDING NOTE: NSCH treatment percentages are published to 0.1 percentage point. Where the underlying values are small (e.g., some autism figures below 1%), the derived Unmet Need Rate can shift by several points due to rounding alone.</t>
  </si>
  <si>
    <t xml:space="preserve">Correlation Results: HRSA Percent of Need Met vs. Unmet Need Rate</t>
  </si>
  <si>
    <t xml:space="preserve">Condition</t>
  </si>
  <si>
    <t xml:space="preserve">Sample</t>
  </si>
  <si>
    <t xml:space="preserve">n</t>
  </si>
  <si>
    <t xml:space="preserve">Pearson r</t>
  </si>
  <si>
    <t xml:space="preserve">Pearson p</t>
  </si>
  <si>
    <t xml:space="preserve">Spearman rho</t>
  </si>
  <si>
    <t xml:space="preserve">Spearman p</t>
  </si>
  <si>
    <t xml:space="preserve">ADHD</t>
  </si>
  <si>
    <t xml:space="preserve">Including DC</t>
  </si>
  <si>
    <t xml:space="preserve">Excluding DC</t>
  </si>
  <si>
    <t xml:space="preserve">Autism</t>
  </si>
  <si>
    <t xml:space="preserve">Notes</t>
  </si>
  <si>
    <t xml:space="preserve">Expected direction is negative: states meeting more of their mental health need should show lower unmet treatment rates.</t>
  </si>
  <si>
    <t xml:space="preserve">Vermont is excluded from all rows because its HRSA Percent of Need Met was not published for this quarter.</t>
  </si>
  <si>
    <t xml:space="preserve">Only one result reaches p &lt; .05 (Autism, Pearson, including DC), and it does not hold with DC excluded or with the rank based Spearman method.</t>
  </si>
  <si>
    <t xml:space="preserve">Spearman correlation is based on ranks and is less sensitive to single extreme values such as DC (0% need met).</t>
  </si>
  <si>
    <t xml:space="preserve">Values are static results of the analysis, not live formulas. Pearson values match the jamovi output; all values were recomputed from the Master Data sheet with SciPy and can be reproduced in jamovi (Correlation Matrix, check Spearman).</t>
  </si>
  <si>
    <t xml:space="preserve">With n = 49 or 50, the analysis has limited power to detect weak correlations, so these results are best read as inconclusive rather than as evidence of no relationship.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</si>
</sst>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"/>
    <numFmt numFmtId="168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ADHD: HRSA Percent of Need Met vs. ADHD Unmet Need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"States (excl. DC)"</c:f>
              <c:strCache>
                <c:ptCount val="1"/>
                <c:pt idx="0">
                  <c:v>States (excl. DC)</c:v>
                </c:pt>
              </c:strCache>
            </c:strRef>
          </c:tx>
          <c:spPr>
            <a:solidFill>
              <a:srgbClr val="2e75b6"/>
            </a:solidFill>
            <a:ln w="47520">
              <a:noFill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40404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'Master Data'!$M$2:$M$52</c:f>
              <c:numCache>
                <c:formatCode>0.00</c:formatCode>
                <c:ptCount val="51"/>
                <c:pt idx="0">
                  <c:v>26.77</c:v>
                </c:pt>
                <c:pt idx="1">
                  <c:v>12.01</c:v>
                </c:pt>
                <c:pt idx="2">
                  <c:v>10.07</c:v>
                </c:pt>
                <c:pt idx="3">
                  <c:v>29.68</c:v>
                </c:pt>
                <c:pt idx="4">
                  <c:v>22.74</c:v>
                </c:pt>
                <c:pt idx="5">
                  <c:v>34.23</c:v>
                </c:pt>
                <c:pt idx="6">
                  <c:v>17.78</c:v>
                </c:pt>
                <c:pt idx="7">
                  <c:v>13.75</c:v>
                </c:pt>
                <c:pt idx="9">
                  <c:v>23.89</c:v>
                </c:pt>
                <c:pt idx="10">
                  <c:v>43.46</c:v>
                </c:pt>
                <c:pt idx="11">
                  <c:v>14.13</c:v>
                </c:pt>
                <c:pt idx="12">
                  <c:v>27.24</c:v>
                </c:pt>
                <c:pt idx="13">
                  <c:v>21.3</c:v>
                </c:pt>
                <c:pt idx="14">
                  <c:v>29.89</c:v>
                </c:pt>
                <c:pt idx="15">
                  <c:v>13.11</c:v>
                </c:pt>
                <c:pt idx="16">
                  <c:v>23.01</c:v>
                </c:pt>
                <c:pt idx="17">
                  <c:v>28.17</c:v>
                </c:pt>
                <c:pt idx="18">
                  <c:v>23.91</c:v>
                </c:pt>
                <c:pt idx="19">
                  <c:v>13.93</c:v>
                </c:pt>
                <c:pt idx="20">
                  <c:v>22.13</c:v>
                </c:pt>
                <c:pt idx="21">
                  <c:v>35.33</c:v>
                </c:pt>
                <c:pt idx="22">
                  <c:v>40.34</c:v>
                </c:pt>
                <c:pt idx="23">
                  <c:v>29.58</c:v>
                </c:pt>
                <c:pt idx="24">
                  <c:v>39.22</c:v>
                </c:pt>
                <c:pt idx="25">
                  <c:v>14.18</c:v>
                </c:pt>
                <c:pt idx="26">
                  <c:v>32.88</c:v>
                </c:pt>
                <c:pt idx="27">
                  <c:v>48.31</c:v>
                </c:pt>
                <c:pt idx="28">
                  <c:v>20.6</c:v>
                </c:pt>
                <c:pt idx="29">
                  <c:v>52.68</c:v>
                </c:pt>
                <c:pt idx="30">
                  <c:v>60.05</c:v>
                </c:pt>
                <c:pt idx="31">
                  <c:v>18.99</c:v>
                </c:pt>
                <c:pt idx="32">
                  <c:v>15.53</c:v>
                </c:pt>
                <c:pt idx="33">
                  <c:v>11.52</c:v>
                </c:pt>
                <c:pt idx="34">
                  <c:v>23.46</c:v>
                </c:pt>
                <c:pt idx="35">
                  <c:v>30.35</c:v>
                </c:pt>
                <c:pt idx="36">
                  <c:v>37.59</c:v>
                </c:pt>
                <c:pt idx="37">
                  <c:v>31.07</c:v>
                </c:pt>
                <c:pt idx="38">
                  <c:v>32.39</c:v>
                </c:pt>
                <c:pt idx="39">
                  <c:v>58.09</c:v>
                </c:pt>
                <c:pt idx="40">
                  <c:v>32.61</c:v>
                </c:pt>
                <c:pt idx="41">
                  <c:v>28.75</c:v>
                </c:pt>
                <c:pt idx="42">
                  <c:v>14.26</c:v>
                </c:pt>
                <c:pt idx="43">
                  <c:v>31.36</c:v>
                </c:pt>
                <c:pt idx="44">
                  <c:v>53.29</c:v>
                </c:pt>
                <c:pt idx="46">
                  <c:v>30.58</c:v>
                </c:pt>
                <c:pt idx="47">
                  <c:v>17.81</c:v>
                </c:pt>
                <c:pt idx="48">
                  <c:v>11.49</c:v>
                </c:pt>
                <c:pt idx="49">
                  <c:v>41.2</c:v>
                </c:pt>
                <c:pt idx="50">
                  <c:v>41.26</c:v>
                </c:pt>
              </c:numCache>
            </c:numRef>
          </c:xVal>
          <c:yVal>
            <c:numRef>
              <c:f>'Master Data'!$H$2:$H$52</c:f>
              <c:numCache>
                <c:formatCode>0.0</c:formatCode>
                <c:ptCount val="51"/>
                <c:pt idx="0">
                  <c:v>58.9147286821706</c:v>
                </c:pt>
                <c:pt idx="1">
                  <c:v>59.0909090909091</c:v>
                </c:pt>
                <c:pt idx="2">
                  <c:v>54.2168674698795</c:v>
                </c:pt>
                <c:pt idx="3">
                  <c:v>54.3478260869565</c:v>
                </c:pt>
                <c:pt idx="4">
                  <c:v>57.1428571428571</c:v>
                </c:pt>
                <c:pt idx="5">
                  <c:v>45.7943925233645</c:v>
                </c:pt>
                <c:pt idx="6">
                  <c:v>42.6229508196721</c:v>
                </c:pt>
                <c:pt idx="7">
                  <c:v>46.078431372549</c:v>
                </c:pt>
                <c:pt idx="8">
                  <c:v>43.75</c:v>
                </c:pt>
                <c:pt idx="9">
                  <c:v>47.4074074074074</c:v>
                </c:pt>
                <c:pt idx="10">
                  <c:v>54.7619047619048</c:v>
                </c:pt>
                <c:pt idx="11">
                  <c:v>67.6056338028169</c:v>
                </c:pt>
                <c:pt idx="12">
                  <c:v>56.6037735849057</c:v>
                </c:pt>
                <c:pt idx="13">
                  <c:v>43.3962264150943</c:v>
                </c:pt>
                <c:pt idx="14">
                  <c:v>57.03125</c:v>
                </c:pt>
                <c:pt idx="15">
                  <c:v>62.7118644067797</c:v>
                </c:pt>
                <c:pt idx="16">
                  <c:v>54.5454545454545</c:v>
                </c:pt>
                <c:pt idx="17">
                  <c:v>48.1481481481481</c:v>
                </c:pt>
                <c:pt idx="18">
                  <c:v>52.3489932885906</c:v>
                </c:pt>
                <c:pt idx="19">
                  <c:v>53.1034482758621</c:v>
                </c:pt>
                <c:pt idx="20">
                  <c:v>40.625</c:v>
                </c:pt>
                <c:pt idx="21">
                  <c:v>52.3364485981308</c:v>
                </c:pt>
                <c:pt idx="22">
                  <c:v>42.6356589147287</c:v>
                </c:pt>
                <c:pt idx="23">
                  <c:v>54.8672566371681</c:v>
                </c:pt>
                <c:pt idx="24">
                  <c:v>54.7486033519553</c:v>
                </c:pt>
                <c:pt idx="25">
                  <c:v>63.9344262295082</c:v>
                </c:pt>
                <c:pt idx="26">
                  <c:v>52.7777777777778</c:v>
                </c:pt>
                <c:pt idx="27">
                  <c:v>57.1428571428571</c:v>
                </c:pt>
                <c:pt idx="28">
                  <c:v>47.5609756097561</c:v>
                </c:pt>
                <c:pt idx="29">
                  <c:v>50.6666666666667</c:v>
                </c:pt>
                <c:pt idx="30">
                  <c:v>56.7307692307692</c:v>
                </c:pt>
                <c:pt idx="31">
                  <c:v>51.7241379310345</c:v>
                </c:pt>
                <c:pt idx="32">
                  <c:v>45.4545454545455</c:v>
                </c:pt>
                <c:pt idx="33">
                  <c:v>55.7142857142857</c:v>
                </c:pt>
                <c:pt idx="34">
                  <c:v>51.7543859649123</c:v>
                </c:pt>
                <c:pt idx="35">
                  <c:v>52.4590163934426</c:v>
                </c:pt>
                <c:pt idx="36">
                  <c:v>49.6296296296296</c:v>
                </c:pt>
                <c:pt idx="37">
                  <c:v>45.5882352941176</c:v>
                </c:pt>
                <c:pt idx="38">
                  <c:v>45.8333333333333</c:v>
                </c:pt>
                <c:pt idx="39">
                  <c:v>47.2868217054264</c:v>
                </c:pt>
                <c:pt idx="40">
                  <c:v>58.7412587412587</c:v>
                </c:pt>
                <c:pt idx="41">
                  <c:v>57.9831932773109</c:v>
                </c:pt>
                <c:pt idx="42">
                  <c:v>58.2608695652174</c:v>
                </c:pt>
                <c:pt idx="43">
                  <c:v>45.5445544554455</c:v>
                </c:pt>
                <c:pt idx="44">
                  <c:v>53.7190082644628</c:v>
                </c:pt>
                <c:pt idx="45">
                  <c:v>58.4507042253521</c:v>
                </c:pt>
                <c:pt idx="46">
                  <c:v>61.8055555555556</c:v>
                </c:pt>
                <c:pt idx="47">
                  <c:v>51.685393258427</c:v>
                </c:pt>
                <c:pt idx="48">
                  <c:v>59.4771241830065</c:v>
                </c:pt>
                <c:pt idx="49">
                  <c:v>48.2456140350877</c:v>
                </c:pt>
                <c:pt idx="50">
                  <c:v>51.304347826087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"District of Columbia (outlier)"</c:f>
              <c:strCache>
                <c:ptCount val="1"/>
                <c:pt idx="0">
                  <c:v>District of Columbia (outlier)</c:v>
                </c:pt>
              </c:strCache>
            </c:strRef>
          </c:tx>
          <c:spPr>
            <a:solidFill>
              <a:srgbClr val="c00000"/>
            </a:solidFill>
            <a:ln w="47520">
              <a:noFill/>
            </a:ln>
          </c:spPr>
          <c:marker>
            <c:symbol val="diamond"/>
            <c:size val="9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Data'!$N$2:$N$52</c:f>
              <c:numCache>
                <c:formatCode>0.00</c:formatCode>
                <c:ptCount val="51"/>
                <c:pt idx="8">
                  <c:v>0</c:v>
                </c:pt>
              </c:numCache>
            </c:numRef>
          </c:xVal>
          <c:yVal>
            <c:numRef>
              <c:f>'Master Data'!$H$2:$H$52</c:f>
              <c:numCache>
                <c:formatCode>0.0</c:formatCode>
                <c:ptCount val="51"/>
                <c:pt idx="0">
                  <c:v>58.9147286821706</c:v>
                </c:pt>
                <c:pt idx="1">
                  <c:v>59.0909090909091</c:v>
                </c:pt>
                <c:pt idx="2">
                  <c:v>54.2168674698795</c:v>
                </c:pt>
                <c:pt idx="3">
                  <c:v>54.3478260869565</c:v>
                </c:pt>
                <c:pt idx="4">
                  <c:v>57.1428571428571</c:v>
                </c:pt>
                <c:pt idx="5">
                  <c:v>45.7943925233645</c:v>
                </c:pt>
                <c:pt idx="6">
                  <c:v>42.6229508196721</c:v>
                </c:pt>
                <c:pt idx="7">
                  <c:v>46.078431372549</c:v>
                </c:pt>
                <c:pt idx="8">
                  <c:v>43.75</c:v>
                </c:pt>
                <c:pt idx="9">
                  <c:v>47.4074074074074</c:v>
                </c:pt>
                <c:pt idx="10">
                  <c:v>54.7619047619048</c:v>
                </c:pt>
                <c:pt idx="11">
                  <c:v>67.6056338028169</c:v>
                </c:pt>
                <c:pt idx="12">
                  <c:v>56.6037735849057</c:v>
                </c:pt>
                <c:pt idx="13">
                  <c:v>43.3962264150943</c:v>
                </c:pt>
                <c:pt idx="14">
                  <c:v>57.03125</c:v>
                </c:pt>
                <c:pt idx="15">
                  <c:v>62.7118644067797</c:v>
                </c:pt>
                <c:pt idx="16">
                  <c:v>54.5454545454545</c:v>
                </c:pt>
                <c:pt idx="17">
                  <c:v>48.1481481481481</c:v>
                </c:pt>
                <c:pt idx="18">
                  <c:v>52.3489932885906</c:v>
                </c:pt>
                <c:pt idx="19">
                  <c:v>53.1034482758621</c:v>
                </c:pt>
                <c:pt idx="20">
                  <c:v>40.625</c:v>
                </c:pt>
                <c:pt idx="21">
                  <c:v>52.3364485981308</c:v>
                </c:pt>
                <c:pt idx="22">
                  <c:v>42.6356589147287</c:v>
                </c:pt>
                <c:pt idx="23">
                  <c:v>54.8672566371681</c:v>
                </c:pt>
                <c:pt idx="24">
                  <c:v>54.7486033519553</c:v>
                </c:pt>
                <c:pt idx="25">
                  <c:v>63.9344262295082</c:v>
                </c:pt>
                <c:pt idx="26">
                  <c:v>52.7777777777778</c:v>
                </c:pt>
                <c:pt idx="27">
                  <c:v>57.1428571428571</c:v>
                </c:pt>
                <c:pt idx="28">
                  <c:v>47.5609756097561</c:v>
                </c:pt>
                <c:pt idx="29">
                  <c:v>50.6666666666667</c:v>
                </c:pt>
                <c:pt idx="30">
                  <c:v>56.7307692307692</c:v>
                </c:pt>
                <c:pt idx="31">
                  <c:v>51.7241379310345</c:v>
                </c:pt>
                <c:pt idx="32">
                  <c:v>45.4545454545455</c:v>
                </c:pt>
                <c:pt idx="33">
                  <c:v>55.7142857142857</c:v>
                </c:pt>
                <c:pt idx="34">
                  <c:v>51.7543859649123</c:v>
                </c:pt>
                <c:pt idx="35">
                  <c:v>52.4590163934426</c:v>
                </c:pt>
                <c:pt idx="36">
                  <c:v>49.6296296296296</c:v>
                </c:pt>
                <c:pt idx="37">
                  <c:v>45.5882352941176</c:v>
                </c:pt>
                <c:pt idx="38">
                  <c:v>45.8333333333333</c:v>
                </c:pt>
                <c:pt idx="39">
                  <c:v>47.2868217054264</c:v>
                </c:pt>
                <c:pt idx="40">
                  <c:v>58.7412587412587</c:v>
                </c:pt>
                <c:pt idx="41">
                  <c:v>57.9831932773109</c:v>
                </c:pt>
                <c:pt idx="42">
                  <c:v>58.2608695652174</c:v>
                </c:pt>
                <c:pt idx="43">
                  <c:v>45.5445544554455</c:v>
                </c:pt>
                <c:pt idx="44">
                  <c:v>53.7190082644628</c:v>
                </c:pt>
                <c:pt idx="45">
                  <c:v>58.4507042253521</c:v>
                </c:pt>
                <c:pt idx="46">
                  <c:v>61.8055555555556</c:v>
                </c:pt>
                <c:pt idx="47">
                  <c:v>51.685393258427</c:v>
                </c:pt>
                <c:pt idx="48">
                  <c:v>59.4771241830065</c:v>
                </c:pt>
                <c:pt idx="49">
                  <c:v>48.2456140350877</c:v>
                </c:pt>
                <c:pt idx="50">
                  <c:v>51.304347826087</c:v>
                </c:pt>
              </c:numCache>
            </c:numRef>
          </c:yVal>
          <c:smooth val="1"/>
        </c:ser>
        <c:axId val="3449749"/>
        <c:axId val="28237053"/>
      </c:scatterChart>
      <c:valAx>
        <c:axId val="3449749"/>
        <c:scaling>
          <c:orientation val="minMax"/>
          <c:max val="70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HRSA Percent of Need Met (%), lower = worse shortage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37053"/>
        <c:crosses val="autoZero"/>
        <c:crossBetween val="midCat"/>
      </c:valAx>
      <c:valAx>
        <c:axId val="282370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ADHD Unmet Need Rate (%), higher = worse gap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974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Autism: HRSA Percent of Need Met vs. Autism Unmet Need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"States (excl. DC)"</c:f>
              <c:strCache>
                <c:ptCount val="1"/>
                <c:pt idx="0">
                  <c:v>States (excl. DC)</c:v>
                </c:pt>
              </c:strCache>
            </c:strRef>
          </c:tx>
          <c:spPr>
            <a:solidFill>
              <a:srgbClr val="2e75b6"/>
            </a:solidFill>
            <a:ln w="47520">
              <a:noFill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40404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'Master Data'!$M$2:$M$52</c:f>
              <c:numCache>
                <c:formatCode>0.00</c:formatCode>
                <c:ptCount val="51"/>
                <c:pt idx="0">
                  <c:v>26.77</c:v>
                </c:pt>
                <c:pt idx="1">
                  <c:v>12.01</c:v>
                </c:pt>
                <c:pt idx="2">
                  <c:v>10.07</c:v>
                </c:pt>
                <c:pt idx="3">
                  <c:v>29.68</c:v>
                </c:pt>
                <c:pt idx="4">
                  <c:v>22.74</c:v>
                </c:pt>
                <c:pt idx="5">
                  <c:v>34.23</c:v>
                </c:pt>
                <c:pt idx="6">
                  <c:v>17.78</c:v>
                </c:pt>
                <c:pt idx="7">
                  <c:v>13.75</c:v>
                </c:pt>
                <c:pt idx="9">
                  <c:v>23.89</c:v>
                </c:pt>
                <c:pt idx="10">
                  <c:v>43.46</c:v>
                </c:pt>
                <c:pt idx="11">
                  <c:v>14.13</c:v>
                </c:pt>
                <c:pt idx="12">
                  <c:v>27.24</c:v>
                </c:pt>
                <c:pt idx="13">
                  <c:v>21.3</c:v>
                </c:pt>
                <c:pt idx="14">
                  <c:v>29.89</c:v>
                </c:pt>
                <c:pt idx="15">
                  <c:v>13.11</c:v>
                </c:pt>
                <c:pt idx="16">
                  <c:v>23.01</c:v>
                </c:pt>
                <c:pt idx="17">
                  <c:v>28.17</c:v>
                </c:pt>
                <c:pt idx="18">
                  <c:v>23.91</c:v>
                </c:pt>
                <c:pt idx="19">
                  <c:v>13.93</c:v>
                </c:pt>
                <c:pt idx="20">
                  <c:v>22.13</c:v>
                </c:pt>
                <c:pt idx="21">
                  <c:v>35.33</c:v>
                </c:pt>
                <c:pt idx="22">
                  <c:v>40.34</c:v>
                </c:pt>
                <c:pt idx="23">
                  <c:v>29.58</c:v>
                </c:pt>
                <c:pt idx="24">
                  <c:v>39.22</c:v>
                </c:pt>
                <c:pt idx="25">
                  <c:v>14.18</c:v>
                </c:pt>
                <c:pt idx="26">
                  <c:v>32.88</c:v>
                </c:pt>
                <c:pt idx="27">
                  <c:v>48.31</c:v>
                </c:pt>
                <c:pt idx="28">
                  <c:v>20.6</c:v>
                </c:pt>
                <c:pt idx="29">
                  <c:v>52.68</c:v>
                </c:pt>
                <c:pt idx="30">
                  <c:v>60.05</c:v>
                </c:pt>
                <c:pt idx="31">
                  <c:v>18.99</c:v>
                </c:pt>
                <c:pt idx="32">
                  <c:v>15.53</c:v>
                </c:pt>
                <c:pt idx="33">
                  <c:v>11.52</c:v>
                </c:pt>
                <c:pt idx="34">
                  <c:v>23.46</c:v>
                </c:pt>
                <c:pt idx="35">
                  <c:v>30.35</c:v>
                </c:pt>
                <c:pt idx="36">
                  <c:v>37.59</c:v>
                </c:pt>
                <c:pt idx="37">
                  <c:v>31.07</c:v>
                </c:pt>
                <c:pt idx="38">
                  <c:v>32.39</c:v>
                </c:pt>
                <c:pt idx="39">
                  <c:v>58.09</c:v>
                </c:pt>
                <c:pt idx="40">
                  <c:v>32.61</c:v>
                </c:pt>
                <c:pt idx="41">
                  <c:v>28.75</c:v>
                </c:pt>
                <c:pt idx="42">
                  <c:v>14.26</c:v>
                </c:pt>
                <c:pt idx="43">
                  <c:v>31.36</c:v>
                </c:pt>
                <c:pt idx="44">
                  <c:v>53.29</c:v>
                </c:pt>
                <c:pt idx="46">
                  <c:v>30.58</c:v>
                </c:pt>
                <c:pt idx="47">
                  <c:v>17.81</c:v>
                </c:pt>
                <c:pt idx="48">
                  <c:v>11.49</c:v>
                </c:pt>
                <c:pt idx="49">
                  <c:v>41.2</c:v>
                </c:pt>
                <c:pt idx="50">
                  <c:v>41.26</c:v>
                </c:pt>
              </c:numCache>
            </c:numRef>
          </c:xVal>
          <c:yVal>
            <c:numRef>
              <c:f>'Master Data'!$L$2:$L$52</c:f>
              <c:numCache>
                <c:formatCode>0.0</c:formatCode>
                <c:ptCount val="51"/>
                <c:pt idx="0">
                  <c:v>46.1538461538462</c:v>
                </c:pt>
                <c:pt idx="1">
                  <c:v>34.2105263157895</c:v>
                </c:pt>
                <c:pt idx="2">
                  <c:v>45.7142857142857</c:v>
                </c:pt>
                <c:pt idx="3">
                  <c:v>43.1818181818182</c:v>
                </c:pt>
                <c:pt idx="4">
                  <c:v>36.5853658536585</c:v>
                </c:pt>
                <c:pt idx="5">
                  <c:v>42.1052631578947</c:v>
                </c:pt>
                <c:pt idx="6">
                  <c:v>38.2978723404255</c:v>
                </c:pt>
                <c:pt idx="7">
                  <c:v>28.2051282051282</c:v>
                </c:pt>
                <c:pt idx="8">
                  <c:v>60</c:v>
                </c:pt>
                <c:pt idx="9">
                  <c:v>55.1020408163265</c:v>
                </c:pt>
                <c:pt idx="10">
                  <c:v>39.0243902439024</c:v>
                </c:pt>
                <c:pt idx="11">
                  <c:v>44.4444444444444</c:v>
                </c:pt>
                <c:pt idx="12">
                  <c:v>56.25</c:v>
                </c:pt>
                <c:pt idx="13">
                  <c:v>31.0344827586207</c:v>
                </c:pt>
                <c:pt idx="14">
                  <c:v>50</c:v>
                </c:pt>
                <c:pt idx="15">
                  <c:v>48.7804878048781</c:v>
                </c:pt>
                <c:pt idx="16">
                  <c:v>52.6315789473684</c:v>
                </c:pt>
                <c:pt idx="17">
                  <c:v>37.3134328358209</c:v>
                </c:pt>
                <c:pt idx="18">
                  <c:v>48.8888888888889</c:v>
                </c:pt>
                <c:pt idx="19">
                  <c:v>37.2093023255814</c:v>
                </c:pt>
                <c:pt idx="20">
                  <c:v>53.6585365853659</c:v>
                </c:pt>
                <c:pt idx="21">
                  <c:v>20</c:v>
                </c:pt>
                <c:pt idx="22">
                  <c:v>44.1860465116279</c:v>
                </c:pt>
                <c:pt idx="23">
                  <c:v>39.5348837209302</c:v>
                </c:pt>
                <c:pt idx="24">
                  <c:v>42.8571428571429</c:v>
                </c:pt>
                <c:pt idx="25">
                  <c:v>58.8235294117647</c:v>
                </c:pt>
                <c:pt idx="26">
                  <c:v>62.1621621621622</c:v>
                </c:pt>
                <c:pt idx="27">
                  <c:v>39.4736842105263</c:v>
                </c:pt>
                <c:pt idx="28">
                  <c:v>56.25</c:v>
                </c:pt>
                <c:pt idx="29">
                  <c:v>30.2325581395349</c:v>
                </c:pt>
                <c:pt idx="30">
                  <c:v>27.2727272727273</c:v>
                </c:pt>
                <c:pt idx="31">
                  <c:v>51.0204081632653</c:v>
                </c:pt>
                <c:pt idx="32">
                  <c:v>38.1818181818182</c:v>
                </c:pt>
                <c:pt idx="33">
                  <c:v>53.4883720930233</c:v>
                </c:pt>
                <c:pt idx="34">
                  <c:v>24.1379310344828</c:v>
                </c:pt>
                <c:pt idx="35">
                  <c:v>35.4838709677419</c:v>
                </c:pt>
                <c:pt idx="36">
                  <c:v>47.6190476190476</c:v>
                </c:pt>
                <c:pt idx="37">
                  <c:v>38.4615384615385</c:v>
                </c:pt>
                <c:pt idx="38">
                  <c:v>43.1818181818182</c:v>
                </c:pt>
                <c:pt idx="39">
                  <c:v>47.7272727272727</c:v>
                </c:pt>
                <c:pt idx="40">
                  <c:v>32.5</c:v>
                </c:pt>
                <c:pt idx="41">
                  <c:v>35</c:v>
                </c:pt>
                <c:pt idx="42">
                  <c:v>40.5405405405405</c:v>
                </c:pt>
                <c:pt idx="43">
                  <c:v>40.4255319148936</c:v>
                </c:pt>
                <c:pt idx="44">
                  <c:v>30.952380952381</c:v>
                </c:pt>
                <c:pt idx="45">
                  <c:v>42.5</c:v>
                </c:pt>
                <c:pt idx="46">
                  <c:v>28</c:v>
                </c:pt>
                <c:pt idx="47">
                  <c:v>44.8979591836735</c:v>
                </c:pt>
                <c:pt idx="48">
                  <c:v>38.6363636363636</c:v>
                </c:pt>
                <c:pt idx="49">
                  <c:v>34.0909090909091</c:v>
                </c:pt>
                <c:pt idx="50">
                  <c:v>51.4285714285714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"District of Columbia (outlier)"</c:f>
              <c:strCache>
                <c:ptCount val="1"/>
                <c:pt idx="0">
                  <c:v>District of Columbia (outlier)</c:v>
                </c:pt>
              </c:strCache>
            </c:strRef>
          </c:tx>
          <c:spPr>
            <a:solidFill>
              <a:srgbClr val="c00000"/>
            </a:solidFill>
            <a:ln w="47520">
              <a:noFill/>
            </a:ln>
          </c:spPr>
          <c:marker>
            <c:symbol val="diamond"/>
            <c:size val="9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Data'!$N$2:$N$52</c:f>
              <c:numCache>
                <c:formatCode>0.00</c:formatCode>
                <c:ptCount val="51"/>
                <c:pt idx="8">
                  <c:v>0</c:v>
                </c:pt>
              </c:numCache>
            </c:numRef>
          </c:xVal>
          <c:yVal>
            <c:numRef>
              <c:f>'Master Data'!$L$2:$L$52</c:f>
              <c:numCache>
                <c:formatCode>0.0</c:formatCode>
                <c:ptCount val="51"/>
                <c:pt idx="0">
                  <c:v>46.1538461538462</c:v>
                </c:pt>
                <c:pt idx="1">
                  <c:v>34.2105263157895</c:v>
                </c:pt>
                <c:pt idx="2">
                  <c:v>45.7142857142857</c:v>
                </c:pt>
                <c:pt idx="3">
                  <c:v>43.1818181818182</c:v>
                </c:pt>
                <c:pt idx="4">
                  <c:v>36.5853658536585</c:v>
                </c:pt>
                <c:pt idx="5">
                  <c:v>42.1052631578947</c:v>
                </c:pt>
                <c:pt idx="6">
                  <c:v>38.2978723404255</c:v>
                </c:pt>
                <c:pt idx="7">
                  <c:v>28.2051282051282</c:v>
                </c:pt>
                <c:pt idx="8">
                  <c:v>60</c:v>
                </c:pt>
                <c:pt idx="9">
                  <c:v>55.1020408163265</c:v>
                </c:pt>
                <c:pt idx="10">
                  <c:v>39.0243902439024</c:v>
                </c:pt>
                <c:pt idx="11">
                  <c:v>44.4444444444444</c:v>
                </c:pt>
                <c:pt idx="12">
                  <c:v>56.25</c:v>
                </c:pt>
                <c:pt idx="13">
                  <c:v>31.0344827586207</c:v>
                </c:pt>
                <c:pt idx="14">
                  <c:v>50</c:v>
                </c:pt>
                <c:pt idx="15">
                  <c:v>48.7804878048781</c:v>
                </c:pt>
                <c:pt idx="16">
                  <c:v>52.6315789473684</c:v>
                </c:pt>
                <c:pt idx="17">
                  <c:v>37.3134328358209</c:v>
                </c:pt>
                <c:pt idx="18">
                  <c:v>48.8888888888889</c:v>
                </c:pt>
                <c:pt idx="19">
                  <c:v>37.2093023255814</c:v>
                </c:pt>
                <c:pt idx="20">
                  <c:v>53.6585365853659</c:v>
                </c:pt>
                <c:pt idx="21">
                  <c:v>20</c:v>
                </c:pt>
                <c:pt idx="22">
                  <c:v>44.1860465116279</c:v>
                </c:pt>
                <c:pt idx="23">
                  <c:v>39.5348837209302</c:v>
                </c:pt>
                <c:pt idx="24">
                  <c:v>42.8571428571429</c:v>
                </c:pt>
                <c:pt idx="25">
                  <c:v>58.8235294117647</c:v>
                </c:pt>
                <c:pt idx="26">
                  <c:v>62.1621621621622</c:v>
                </c:pt>
                <c:pt idx="27">
                  <c:v>39.4736842105263</c:v>
                </c:pt>
                <c:pt idx="28">
                  <c:v>56.25</c:v>
                </c:pt>
                <c:pt idx="29">
                  <c:v>30.2325581395349</c:v>
                </c:pt>
                <c:pt idx="30">
                  <c:v>27.2727272727273</c:v>
                </c:pt>
                <c:pt idx="31">
                  <c:v>51.0204081632653</c:v>
                </c:pt>
                <c:pt idx="32">
                  <c:v>38.1818181818182</c:v>
                </c:pt>
                <c:pt idx="33">
                  <c:v>53.4883720930233</c:v>
                </c:pt>
                <c:pt idx="34">
                  <c:v>24.1379310344828</c:v>
                </c:pt>
                <c:pt idx="35">
                  <c:v>35.4838709677419</c:v>
                </c:pt>
                <c:pt idx="36">
                  <c:v>47.6190476190476</c:v>
                </c:pt>
                <c:pt idx="37">
                  <c:v>38.4615384615385</c:v>
                </c:pt>
                <c:pt idx="38">
                  <c:v>43.1818181818182</c:v>
                </c:pt>
                <c:pt idx="39">
                  <c:v>47.7272727272727</c:v>
                </c:pt>
                <c:pt idx="40">
                  <c:v>32.5</c:v>
                </c:pt>
                <c:pt idx="41">
                  <c:v>35</c:v>
                </c:pt>
                <c:pt idx="42">
                  <c:v>40.5405405405405</c:v>
                </c:pt>
                <c:pt idx="43">
                  <c:v>40.4255319148936</c:v>
                </c:pt>
                <c:pt idx="44">
                  <c:v>30.952380952381</c:v>
                </c:pt>
                <c:pt idx="45">
                  <c:v>42.5</c:v>
                </c:pt>
                <c:pt idx="46">
                  <c:v>28</c:v>
                </c:pt>
                <c:pt idx="47">
                  <c:v>44.8979591836735</c:v>
                </c:pt>
                <c:pt idx="48">
                  <c:v>38.6363636363636</c:v>
                </c:pt>
                <c:pt idx="49">
                  <c:v>34.0909090909091</c:v>
                </c:pt>
                <c:pt idx="50">
                  <c:v>51.4285714285714</c:v>
                </c:pt>
              </c:numCache>
            </c:numRef>
          </c:yVal>
          <c:smooth val="1"/>
        </c:ser>
        <c:axId val="3752622"/>
        <c:axId val="96238808"/>
      </c:scatterChart>
      <c:valAx>
        <c:axId val="3752622"/>
        <c:scaling>
          <c:orientation val="minMax"/>
          <c:max val="70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HRSA Percent of Need Met (%), lower = worse shortage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38808"/>
        <c:crosses val="autoZero"/>
        <c:crossBetween val="midCat"/>
      </c:valAx>
      <c:valAx>
        <c:axId val="962388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Autism Unmet Need Rate (%), higher = worse gap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262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25</xdr:col>
      <xdr:colOff>364680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1936044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22</xdr:row>
      <xdr:rowOff>0</xdr:rowOff>
    </xdr:from>
    <xdr:to>
      <xdr:col>25</xdr:col>
      <xdr:colOff>364680</xdr:colOff>
      <xdr:row>40</xdr:row>
      <xdr:rowOff>170640</xdr:rowOff>
    </xdr:to>
    <xdr:graphicFrame>
      <xdr:nvGraphicFramePr>
        <xdr:cNvPr id="1" name="Chart 2"/>
        <xdr:cNvGraphicFramePr/>
      </xdr:nvGraphicFramePr>
      <xdr:xfrm>
        <a:off x="19360440" y="45720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8"/>
    <col collapsed="false" customWidth="true" hidden="false" outlineLevel="0" max="11" min="11" style="1" width="20"/>
    <col collapsed="false" customWidth="true" hidden="false" outlineLevel="0" max="12" min="12" style="1" width="18"/>
    <col collapsed="false" customWidth="true" hidden="false" outlineLevel="0" max="14" min="13" style="1" width="20"/>
  </cols>
  <sheetData>
    <row r="1" customFormat="false" ht="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r="2" customFormat="false" ht="15" hidden="false" customHeight="true" outlineLevel="0" collapsed="false">
      <c r="A2" s="4" t="s">
        <v>14</v>
      </c>
      <c r="B2" s="5" t="n">
        <v>59</v>
      </c>
      <c r="C2" s="5" t="n">
        <v>2938473</v>
      </c>
      <c r="D2" s="6" t="n">
        <v>26.77</v>
      </c>
      <c r="E2" s="6" t="n">
        <v>13.2</v>
      </c>
      <c r="F2" s="6" t="n">
        <v>5.3</v>
      </c>
      <c r="G2" s="6" t="n">
        <v>7.6</v>
      </c>
      <c r="H2" s="7" t="n">
        <f aca="false">IF((F2+G2)=0,"",G2/(F2+G2)*100)</f>
        <v>58.9147286821706</v>
      </c>
      <c r="I2" s="6" t="n">
        <v>5.2</v>
      </c>
      <c r="J2" s="6" t="n">
        <v>2.8</v>
      </c>
      <c r="K2" s="6" t="n">
        <v>2.4</v>
      </c>
      <c r="L2" s="7" t="n">
        <f aca="false">IF((J2+K2)=0,"",K2/(J2+K2)*100)</f>
        <v>46.1538461538462</v>
      </c>
      <c r="M2" s="8" t="n">
        <f aca="false">IF(OR(A2="District of Columbia",D2=""),NA(),D2)</f>
        <v>26.77</v>
      </c>
      <c r="N2" s="8" t="e">
        <f aca="false">IF(A2="District of Columbia",D2,NA())</f>
        <v>#N/A</v>
      </c>
    </row>
    <row r="3" customFormat="false" ht="15" hidden="false" customHeight="true" outlineLevel="0" collapsed="false">
      <c r="A3" s="4" t="s">
        <v>15</v>
      </c>
      <c r="B3" s="5" t="n">
        <v>334</v>
      </c>
      <c r="C3" s="5" t="n">
        <v>414742</v>
      </c>
      <c r="D3" s="6" t="n">
        <v>12.01</v>
      </c>
      <c r="E3" s="6" t="n">
        <v>13.3</v>
      </c>
      <c r="F3" s="6" t="n">
        <v>5.4</v>
      </c>
      <c r="G3" s="6" t="n">
        <v>7.8</v>
      </c>
      <c r="H3" s="7" t="n">
        <f aca="false">IF((F3+G3)=0,"",G3/(F3+G3)*100)</f>
        <v>59.0909090909091</v>
      </c>
      <c r="I3" s="6" t="n">
        <v>3.8</v>
      </c>
      <c r="J3" s="6" t="n">
        <v>2.5</v>
      </c>
      <c r="K3" s="6" t="n">
        <v>1.3</v>
      </c>
      <c r="L3" s="7" t="n">
        <f aca="false">IF((J3+K3)=0,"",K3/(J3+K3)*100)</f>
        <v>34.2105263157895</v>
      </c>
      <c r="M3" s="8" t="n">
        <f aca="false">IF(OR(A3="District of Columbia",D3=""),NA(),D3)</f>
        <v>12.01</v>
      </c>
      <c r="N3" s="8" t="e">
        <f aca="false">IF(A3="District of Columbia",D3,NA())</f>
        <v>#N/A</v>
      </c>
    </row>
    <row r="4" customFormat="false" ht="15" hidden="false" customHeight="true" outlineLevel="0" collapsed="false">
      <c r="A4" s="4" t="s">
        <v>16</v>
      </c>
      <c r="B4" s="5" t="n">
        <v>203</v>
      </c>
      <c r="C4" s="5" t="n">
        <v>2074757</v>
      </c>
      <c r="D4" s="6" t="n">
        <v>10.07</v>
      </c>
      <c r="E4" s="6" t="n">
        <v>8.3</v>
      </c>
      <c r="F4" s="6" t="n">
        <v>3.8</v>
      </c>
      <c r="G4" s="6" t="n">
        <v>4.5</v>
      </c>
      <c r="H4" s="7" t="n">
        <f aca="false">IF((F4+G4)=0,"",G4/(F4+G4)*100)</f>
        <v>54.2168674698795</v>
      </c>
      <c r="I4" s="6" t="n">
        <v>3.5</v>
      </c>
      <c r="J4" s="6" t="n">
        <v>1.9</v>
      </c>
      <c r="K4" s="6" t="n">
        <v>1.6</v>
      </c>
      <c r="L4" s="7" t="n">
        <f aca="false">IF((J4+K4)=0,"",K4/(J4+K4)*100)</f>
        <v>45.7142857142857</v>
      </c>
      <c r="M4" s="8" t="n">
        <f aca="false">IF(OR(A4="District of Columbia",D4=""),NA(),D4)</f>
        <v>10.07</v>
      </c>
      <c r="N4" s="8" t="e">
        <f aca="false">IF(A4="District of Columbia",D4,NA())</f>
        <v>#N/A</v>
      </c>
    </row>
    <row r="5" customFormat="false" ht="15" hidden="false" customHeight="true" outlineLevel="0" collapsed="false">
      <c r="A5" s="4" t="s">
        <v>17</v>
      </c>
      <c r="B5" s="5" t="n">
        <v>79</v>
      </c>
      <c r="C5" s="5" t="n">
        <v>1163274</v>
      </c>
      <c r="D5" s="6" t="n">
        <v>29.68</v>
      </c>
      <c r="E5" s="6" t="n">
        <v>13.8</v>
      </c>
      <c r="F5" s="6" t="n">
        <v>6.3</v>
      </c>
      <c r="G5" s="6" t="n">
        <v>7.5</v>
      </c>
      <c r="H5" s="7" t="n">
        <f aca="false">IF((F5+G5)=0,"",G5/(F5+G5)*100)</f>
        <v>54.3478260869565</v>
      </c>
      <c r="I5" s="6" t="n">
        <v>4.5</v>
      </c>
      <c r="J5" s="6" t="n">
        <v>2.5</v>
      </c>
      <c r="K5" s="6" t="n">
        <v>1.9</v>
      </c>
      <c r="L5" s="7" t="n">
        <f aca="false">IF((J5+K5)=0,"",K5/(J5+K5)*100)</f>
        <v>43.1818181818182</v>
      </c>
      <c r="M5" s="8" t="n">
        <f aca="false">IF(OR(A5="District of Columbia",D5=""),NA(),D5)</f>
        <v>29.68</v>
      </c>
      <c r="N5" s="8" t="e">
        <f aca="false">IF(A5="District of Columbia",D5,NA())</f>
        <v>#N/A</v>
      </c>
    </row>
    <row r="6" customFormat="false" ht="15" hidden="false" customHeight="true" outlineLevel="0" collapsed="false">
      <c r="A6" s="4" t="s">
        <v>18</v>
      </c>
      <c r="B6" s="5" t="n">
        <v>584</v>
      </c>
      <c r="C6" s="5" t="n">
        <v>10994288</v>
      </c>
      <c r="D6" s="6" t="n">
        <v>22.74</v>
      </c>
      <c r="E6" s="6" t="n">
        <v>7</v>
      </c>
      <c r="F6" s="6" t="n">
        <v>3</v>
      </c>
      <c r="G6" s="6" t="n">
        <v>4</v>
      </c>
      <c r="H6" s="7" t="n">
        <f aca="false">IF((F6+G6)=0,"",G6/(F6+G6)*100)</f>
        <v>57.1428571428571</v>
      </c>
      <c r="I6" s="6" t="n">
        <v>4.1</v>
      </c>
      <c r="J6" s="6" t="n">
        <v>2.6</v>
      </c>
      <c r="K6" s="6" t="n">
        <v>1.5</v>
      </c>
      <c r="L6" s="7" t="n">
        <f aca="false">IF((J6+K6)=0,"",K6/(J6+K6)*100)</f>
        <v>36.5853658536585</v>
      </c>
      <c r="M6" s="8" t="n">
        <f aca="false">IF(OR(A6="District of Columbia",D6=""),NA(),D6)</f>
        <v>22.74</v>
      </c>
      <c r="N6" s="8" t="e">
        <f aca="false">IF(A6="District of Columbia",D6,NA())</f>
        <v>#N/A</v>
      </c>
    </row>
    <row r="7" customFormat="false" ht="15" hidden="false" customHeight="true" outlineLevel="0" collapsed="false">
      <c r="A7" s="4" t="s">
        <v>19</v>
      </c>
      <c r="B7" s="5" t="n">
        <v>72</v>
      </c>
      <c r="C7" s="5" t="n">
        <v>2744353</v>
      </c>
      <c r="D7" s="6" t="n">
        <v>34.23</v>
      </c>
      <c r="E7" s="6" t="n">
        <v>10.7</v>
      </c>
      <c r="F7" s="6" t="n">
        <v>5.8</v>
      </c>
      <c r="G7" s="6" t="n">
        <v>4.9</v>
      </c>
      <c r="H7" s="7" t="n">
        <f aca="false">IF((F7+G7)=0,"",G7/(F7+G7)*100)</f>
        <v>45.7943925233645</v>
      </c>
      <c r="I7" s="6" t="n">
        <v>3.8</v>
      </c>
      <c r="J7" s="6" t="n">
        <v>2.2</v>
      </c>
      <c r="K7" s="6" t="n">
        <v>1.6</v>
      </c>
      <c r="L7" s="7" t="n">
        <f aca="false">IF((J7+K7)=0,"",K7/(J7+K7)*100)</f>
        <v>42.1052631578947</v>
      </c>
      <c r="M7" s="8" t="n">
        <f aca="false">IF(OR(A7="District of Columbia",D7=""),NA(),D7)</f>
        <v>34.23</v>
      </c>
      <c r="N7" s="8" t="e">
        <f aca="false">IF(A7="District of Columbia",D7,NA())</f>
        <v>#N/A</v>
      </c>
    </row>
    <row r="8" customFormat="false" ht="15" hidden="false" customHeight="true" outlineLevel="0" collapsed="false">
      <c r="A8" s="4" t="s">
        <v>20</v>
      </c>
      <c r="B8" s="5" t="n">
        <v>43</v>
      </c>
      <c r="C8" s="5" t="n">
        <v>878564</v>
      </c>
      <c r="D8" s="6" t="n">
        <v>17.78</v>
      </c>
      <c r="E8" s="6" t="n">
        <v>12.2</v>
      </c>
      <c r="F8" s="6" t="n">
        <v>7</v>
      </c>
      <c r="G8" s="6" t="n">
        <v>5.2</v>
      </c>
      <c r="H8" s="7" t="n">
        <f aca="false">IF((F8+G8)=0,"",G8/(F8+G8)*100)</f>
        <v>42.6229508196721</v>
      </c>
      <c r="I8" s="6" t="n">
        <v>4.8</v>
      </c>
      <c r="J8" s="6" t="n">
        <v>2.9</v>
      </c>
      <c r="K8" s="6" t="n">
        <v>1.8</v>
      </c>
      <c r="L8" s="7" t="n">
        <f aca="false">IF((J8+K8)=0,"",K8/(J8+K8)*100)</f>
        <v>38.2978723404255</v>
      </c>
      <c r="M8" s="8" t="n">
        <f aca="false">IF(OR(A8="District of Columbia",D8=""),NA(),D8)</f>
        <v>17.78</v>
      </c>
      <c r="N8" s="8" t="e">
        <f aca="false">IF(A8="District of Columbia",D8,NA())</f>
        <v>#N/A</v>
      </c>
    </row>
    <row r="9" customFormat="false" ht="15" hidden="false" customHeight="true" outlineLevel="0" collapsed="false">
      <c r="A9" s="4" t="s">
        <v>21</v>
      </c>
      <c r="B9" s="5" t="n">
        <v>11</v>
      </c>
      <c r="C9" s="5" t="n">
        <v>223974</v>
      </c>
      <c r="D9" s="6" t="n">
        <v>13.75</v>
      </c>
      <c r="E9" s="6" t="n">
        <v>10.4</v>
      </c>
      <c r="F9" s="6" t="n">
        <v>5.5</v>
      </c>
      <c r="G9" s="6" t="n">
        <v>4.7</v>
      </c>
      <c r="H9" s="7" t="n">
        <f aca="false">IF((F9+G9)=0,"",G9/(F9+G9)*100)</f>
        <v>46.078431372549</v>
      </c>
      <c r="I9" s="6" t="n">
        <v>3.9</v>
      </c>
      <c r="J9" s="6" t="n">
        <v>2.8</v>
      </c>
      <c r="K9" s="6" t="n">
        <v>1.1</v>
      </c>
      <c r="L9" s="7" t="n">
        <f aca="false">IF((J9+K9)=0,"",K9/(J9+K9)*100)</f>
        <v>28.2051282051282</v>
      </c>
      <c r="M9" s="8" t="n">
        <f aca="false">IF(OR(A9="District of Columbia",D9=""),NA(),D9)</f>
        <v>13.75</v>
      </c>
      <c r="N9" s="8" t="e">
        <f aca="false">IF(A9="District of Columbia",D9,NA())</f>
        <v>#N/A</v>
      </c>
    </row>
    <row r="10" customFormat="false" ht="15" hidden="false" customHeight="true" outlineLevel="0" collapsed="false">
      <c r="A10" s="4" t="s">
        <v>22</v>
      </c>
      <c r="B10" s="5" t="n">
        <v>10</v>
      </c>
      <c r="C10" s="5" t="n">
        <v>126214</v>
      </c>
      <c r="D10" s="6" t="n">
        <v>0</v>
      </c>
      <c r="E10" s="6" t="n">
        <v>9.6</v>
      </c>
      <c r="F10" s="6" t="n">
        <v>5.4</v>
      </c>
      <c r="G10" s="6" t="n">
        <v>4.2</v>
      </c>
      <c r="H10" s="7" t="n">
        <f aca="false">IF((F10+G10)=0,"",G10/(F10+G10)*100)</f>
        <v>43.75</v>
      </c>
      <c r="I10" s="6" t="n">
        <v>4.5</v>
      </c>
      <c r="J10" s="6" t="n">
        <v>1.8</v>
      </c>
      <c r="K10" s="6" t="n">
        <v>2.7</v>
      </c>
      <c r="L10" s="7" t="n">
        <f aca="false">IF((J10+K10)=0,"",K10/(J10+K10)*100)</f>
        <v>60</v>
      </c>
      <c r="M10" s="8" t="e">
        <f aca="false">IF(OR(A10="District of Columbia",D10=""),NA(),D10)</f>
        <v>#N/A</v>
      </c>
      <c r="N10" s="8" t="n">
        <f aca="false">IF(A10="District of Columbia",D10,NA())</f>
        <v>0</v>
      </c>
    </row>
    <row r="11" customFormat="false" ht="15" hidden="false" customHeight="true" outlineLevel="0" collapsed="false">
      <c r="A11" s="4" t="s">
        <v>23</v>
      </c>
      <c r="B11" s="5" t="n">
        <v>210</v>
      </c>
      <c r="C11" s="5" t="n">
        <v>7812746</v>
      </c>
      <c r="D11" s="6" t="n">
        <v>23.89</v>
      </c>
      <c r="E11" s="6" t="n">
        <v>13.5</v>
      </c>
      <c r="F11" s="6" t="n">
        <v>7.1</v>
      </c>
      <c r="G11" s="6" t="n">
        <v>6.4</v>
      </c>
      <c r="H11" s="7" t="n">
        <f aca="false">IF((F11+G11)=0,"",G11/(F11+G11)*100)</f>
        <v>47.4074074074074</v>
      </c>
      <c r="I11" s="6" t="n">
        <v>4.9</v>
      </c>
      <c r="J11" s="6" t="n">
        <v>2.2</v>
      </c>
      <c r="K11" s="6" t="n">
        <v>2.7</v>
      </c>
      <c r="L11" s="7" t="n">
        <f aca="false">IF((J11+K11)=0,"",K11/(J11+K11)*100)</f>
        <v>55.1020408163265</v>
      </c>
      <c r="M11" s="8" t="n">
        <f aca="false">IF(OR(A11="District of Columbia",D11=""),NA(),D11)</f>
        <v>23.89</v>
      </c>
      <c r="N11" s="8" t="e">
        <f aca="false">IF(A11="District of Columbia",D11,NA())</f>
        <v>#N/A</v>
      </c>
    </row>
    <row r="12" customFormat="false" ht="15" hidden="false" customHeight="true" outlineLevel="0" collapsed="false">
      <c r="A12" s="4" t="s">
        <v>24</v>
      </c>
      <c r="B12" s="5" t="n">
        <v>84</v>
      </c>
      <c r="C12" s="5" t="n">
        <v>5025022</v>
      </c>
      <c r="D12" s="6" t="n">
        <v>43.46</v>
      </c>
      <c r="E12" s="6" t="n">
        <v>12.6</v>
      </c>
      <c r="F12" s="6" t="n">
        <v>5.7</v>
      </c>
      <c r="G12" s="6" t="n">
        <v>6.9</v>
      </c>
      <c r="H12" s="7" t="n">
        <f aca="false">IF((F12+G12)=0,"",G12/(F12+G12)*100)</f>
        <v>54.7619047619048</v>
      </c>
      <c r="I12" s="6" t="n">
        <v>4.1</v>
      </c>
      <c r="J12" s="6" t="n">
        <v>2.5</v>
      </c>
      <c r="K12" s="6" t="n">
        <v>1.6</v>
      </c>
      <c r="L12" s="7" t="n">
        <f aca="false">IF((J12+K12)=0,"",K12/(J12+K12)*100)</f>
        <v>39.0243902439024</v>
      </c>
      <c r="M12" s="8" t="n">
        <f aca="false">IF(OR(A12="District of Columbia",D12=""),NA(),D12)</f>
        <v>43.46</v>
      </c>
      <c r="N12" s="8" t="e">
        <f aca="false">IF(A12="District of Columbia",D12,NA())</f>
        <v>#N/A</v>
      </c>
    </row>
    <row r="13" customFormat="false" ht="15" hidden="false" customHeight="true" outlineLevel="0" collapsed="false">
      <c r="A13" s="4" t="s">
        <v>25</v>
      </c>
      <c r="B13" s="5" t="n">
        <v>31</v>
      </c>
      <c r="C13" s="5" t="n">
        <v>496429</v>
      </c>
      <c r="D13" s="6" t="n">
        <v>14.13</v>
      </c>
      <c r="E13" s="6" t="n">
        <v>7.1</v>
      </c>
      <c r="F13" s="6" t="n">
        <v>2.3</v>
      </c>
      <c r="G13" s="6" t="n">
        <v>4.8</v>
      </c>
      <c r="H13" s="7" t="n">
        <f aca="false">IF((F13+G13)=0,"",G13/(F13+G13)*100)</f>
        <v>67.6056338028169</v>
      </c>
      <c r="I13" s="6" t="n">
        <v>2.8</v>
      </c>
      <c r="J13" s="6" t="n">
        <v>1.5</v>
      </c>
      <c r="K13" s="6" t="n">
        <v>1.2</v>
      </c>
      <c r="L13" s="7" t="n">
        <f aca="false">IF((J13+K13)=0,"",K13/(J13+K13)*100)</f>
        <v>44.4444444444444</v>
      </c>
      <c r="M13" s="8" t="n">
        <f aca="false">IF(OR(A13="District of Columbia",D13=""),NA(),D13)</f>
        <v>14.13</v>
      </c>
      <c r="N13" s="8" t="e">
        <f aca="false">IF(A13="District of Columbia",D13,NA())</f>
        <v>#N/A</v>
      </c>
    </row>
    <row r="14" customFormat="false" ht="15" hidden="false" customHeight="true" outlineLevel="0" collapsed="false">
      <c r="A14" s="4" t="s">
        <v>26</v>
      </c>
      <c r="B14" s="5" t="n">
        <v>64</v>
      </c>
      <c r="C14" s="5" t="n">
        <v>1210451</v>
      </c>
      <c r="D14" s="6" t="n">
        <v>27.24</v>
      </c>
      <c r="E14" s="6" t="n">
        <v>10.6</v>
      </c>
      <c r="F14" s="6" t="n">
        <v>4.6</v>
      </c>
      <c r="G14" s="6" t="n">
        <v>6</v>
      </c>
      <c r="H14" s="7" t="n">
        <f aca="false">IF((F14+G14)=0,"",G14/(F14+G14)*100)</f>
        <v>56.6037735849057</v>
      </c>
      <c r="I14" s="6" t="n">
        <v>3.3</v>
      </c>
      <c r="J14" s="6" t="n">
        <v>1.4</v>
      </c>
      <c r="K14" s="6" t="n">
        <v>1.8</v>
      </c>
      <c r="L14" s="7" t="n">
        <f aca="false">IF((J14+K14)=0,"",K14/(J14+K14)*100)</f>
        <v>56.25</v>
      </c>
      <c r="M14" s="8" t="n">
        <f aca="false">IF(OR(A14="District of Columbia",D14=""),NA(),D14)</f>
        <v>27.24</v>
      </c>
      <c r="N14" s="8" t="e">
        <f aca="false">IF(A14="District of Columbia",D14,NA())</f>
        <v>#N/A</v>
      </c>
    </row>
    <row r="15" customFormat="false" ht="15" hidden="false" customHeight="true" outlineLevel="0" collapsed="false">
      <c r="A15" s="4" t="s">
        <v>27</v>
      </c>
      <c r="B15" s="5" t="n">
        <v>195</v>
      </c>
      <c r="C15" s="5" t="n">
        <v>6538573</v>
      </c>
      <c r="D15" s="6" t="n">
        <v>21.3</v>
      </c>
      <c r="E15" s="6" t="n">
        <v>10.6</v>
      </c>
      <c r="F15" s="6" t="n">
        <v>6</v>
      </c>
      <c r="G15" s="6" t="n">
        <v>4.6</v>
      </c>
      <c r="H15" s="7" t="n">
        <f aca="false">IF((F15+G15)=0,"",G15/(F15+G15)*100)</f>
        <v>43.3962264150943</v>
      </c>
      <c r="I15" s="6" t="n">
        <v>2.9</v>
      </c>
      <c r="J15" s="6" t="n">
        <v>2</v>
      </c>
      <c r="K15" s="6" t="n">
        <v>0.9</v>
      </c>
      <c r="L15" s="7" t="n">
        <f aca="false">IF((J15+K15)=0,"",K15/(J15+K15)*100)</f>
        <v>31.0344827586207</v>
      </c>
      <c r="M15" s="8" t="n">
        <f aca="false">IF(OR(A15="District of Columbia",D15=""),NA(),D15)</f>
        <v>21.3</v>
      </c>
      <c r="N15" s="8" t="e">
        <f aca="false">IF(A15="District of Columbia",D15,NA())</f>
        <v>#N/A</v>
      </c>
    </row>
    <row r="16" customFormat="false" ht="15" hidden="false" customHeight="true" outlineLevel="0" collapsed="false">
      <c r="A16" s="4" t="s">
        <v>28</v>
      </c>
      <c r="B16" s="5" t="n">
        <v>95</v>
      </c>
      <c r="C16" s="5" t="n">
        <v>5061754</v>
      </c>
      <c r="D16" s="6" t="n">
        <v>29.89</v>
      </c>
      <c r="E16" s="6" t="n">
        <v>12.9</v>
      </c>
      <c r="F16" s="6" t="n">
        <v>5.5</v>
      </c>
      <c r="G16" s="6" t="n">
        <v>7.3</v>
      </c>
      <c r="H16" s="7" t="n">
        <f aca="false">IF((F16+G16)=0,"",G16/(F16+G16)*100)</f>
        <v>57.03125</v>
      </c>
      <c r="I16" s="6" t="n">
        <v>4.6</v>
      </c>
      <c r="J16" s="6" t="n">
        <v>2.3</v>
      </c>
      <c r="K16" s="6" t="n">
        <v>2.3</v>
      </c>
      <c r="L16" s="7" t="n">
        <f aca="false">IF((J16+K16)=0,"",K16/(J16+K16)*100)</f>
        <v>50</v>
      </c>
      <c r="M16" s="8" t="n">
        <f aca="false">IF(OR(A16="District of Columbia",D16=""),NA(),D16)</f>
        <v>29.89</v>
      </c>
      <c r="N16" s="8" t="e">
        <f aca="false">IF(A16="District of Columbia",D16,NA())</f>
        <v>#N/A</v>
      </c>
    </row>
    <row r="17" customFormat="false" ht="15" hidden="false" customHeight="true" outlineLevel="0" collapsed="false">
      <c r="A17" s="4" t="s">
        <v>29</v>
      </c>
      <c r="B17" s="5" t="n">
        <v>165</v>
      </c>
      <c r="C17" s="5" t="n">
        <v>1392801</v>
      </c>
      <c r="D17" s="6" t="n">
        <v>13.11</v>
      </c>
      <c r="E17" s="6" t="n">
        <v>11.9</v>
      </c>
      <c r="F17" s="6" t="n">
        <v>4.4</v>
      </c>
      <c r="G17" s="6" t="n">
        <v>7.4</v>
      </c>
      <c r="H17" s="7" t="n">
        <f aca="false">IF((F17+G17)=0,"",G17/(F17+G17)*100)</f>
        <v>62.7118644067797</v>
      </c>
      <c r="I17" s="6" t="n">
        <v>4.1</v>
      </c>
      <c r="J17" s="6" t="n">
        <v>2.1</v>
      </c>
      <c r="K17" s="6" t="n">
        <v>2</v>
      </c>
      <c r="L17" s="7" t="n">
        <f aca="false">IF((J17+K17)=0,"",K17/(J17+K17)*100)</f>
        <v>48.7804878048781</v>
      </c>
      <c r="M17" s="8" t="n">
        <f aca="false">IF(OR(A17="District of Columbia",D17=""),NA(),D17)</f>
        <v>13.11</v>
      </c>
      <c r="N17" s="8" t="e">
        <f aca="false">IF(A17="District of Columbia",D17,NA())</f>
        <v>#N/A</v>
      </c>
    </row>
    <row r="18" customFormat="false" ht="15" hidden="false" customHeight="true" outlineLevel="0" collapsed="false">
      <c r="A18" s="4" t="s">
        <v>30</v>
      </c>
      <c r="B18" s="5" t="n">
        <v>111</v>
      </c>
      <c r="C18" s="5" t="n">
        <v>1180423</v>
      </c>
      <c r="D18" s="6" t="n">
        <v>23.01</v>
      </c>
      <c r="E18" s="6" t="n">
        <v>12.1</v>
      </c>
      <c r="F18" s="6" t="n">
        <v>5.5</v>
      </c>
      <c r="G18" s="6" t="n">
        <v>6.6</v>
      </c>
      <c r="H18" s="7" t="n">
        <f aca="false">IF((F18+G18)=0,"",G18/(F18+G18)*100)</f>
        <v>54.5454545454545</v>
      </c>
      <c r="I18" s="6" t="n">
        <v>3.8</v>
      </c>
      <c r="J18" s="6" t="n">
        <v>1.8</v>
      </c>
      <c r="K18" s="6" t="n">
        <v>2</v>
      </c>
      <c r="L18" s="7" t="n">
        <f aca="false">IF((J18+K18)=0,"",K18/(J18+K18)*100)</f>
        <v>52.6315789473684</v>
      </c>
      <c r="M18" s="8" t="n">
        <f aca="false">IF(OR(A18="District of Columbia",D18=""),NA(),D18)</f>
        <v>23.01</v>
      </c>
      <c r="N18" s="8" t="e">
        <f aca="false">IF(A18="District of Columbia",D18,NA())</f>
        <v>#N/A</v>
      </c>
    </row>
    <row r="19" customFormat="false" ht="15" hidden="false" customHeight="true" outlineLevel="0" collapsed="false">
      <c r="A19" s="4" t="s">
        <v>31</v>
      </c>
      <c r="B19" s="5" t="n">
        <v>142</v>
      </c>
      <c r="C19" s="5" t="n">
        <v>2767989</v>
      </c>
      <c r="D19" s="6" t="n">
        <v>28.17</v>
      </c>
      <c r="E19" s="6" t="n">
        <v>13.7</v>
      </c>
      <c r="F19" s="6" t="n">
        <v>7</v>
      </c>
      <c r="G19" s="6" t="n">
        <v>6.5</v>
      </c>
      <c r="H19" s="7" t="n">
        <f aca="false">IF((F19+G19)=0,"",G19/(F19+G19)*100)</f>
        <v>48.1481481481481</v>
      </c>
      <c r="I19" s="6" t="n">
        <v>6.7</v>
      </c>
      <c r="J19" s="6" t="n">
        <v>4.2</v>
      </c>
      <c r="K19" s="6" t="n">
        <v>2.5</v>
      </c>
      <c r="L19" s="7" t="n">
        <f aca="false">IF((J19+K19)=0,"",K19/(J19+K19)*100)</f>
        <v>37.3134328358209</v>
      </c>
      <c r="M19" s="8" t="n">
        <f aca="false">IF(OR(A19="District of Columbia",D19=""),NA(),D19)</f>
        <v>28.17</v>
      </c>
      <c r="N19" s="8" t="e">
        <f aca="false">IF(A19="District of Columbia",D19,NA())</f>
        <v>#N/A</v>
      </c>
    </row>
    <row r="20" customFormat="false" ht="15" hidden="false" customHeight="true" outlineLevel="0" collapsed="false">
      <c r="A20" s="4" t="s">
        <v>32</v>
      </c>
      <c r="B20" s="5" t="n">
        <v>165</v>
      </c>
      <c r="C20" s="5" t="n">
        <v>3084511</v>
      </c>
      <c r="D20" s="6" t="n">
        <v>23.91</v>
      </c>
      <c r="E20" s="6" t="n">
        <v>15</v>
      </c>
      <c r="F20" s="6" t="n">
        <v>7.1</v>
      </c>
      <c r="G20" s="6" t="n">
        <v>7.8</v>
      </c>
      <c r="H20" s="7" t="n">
        <f aca="false">IF((F20+G20)=0,"",G20/(F20+G20)*100)</f>
        <v>52.3489932885906</v>
      </c>
      <c r="I20" s="6" t="n">
        <v>4.5</v>
      </c>
      <c r="J20" s="6" t="n">
        <v>2.3</v>
      </c>
      <c r="K20" s="6" t="n">
        <v>2.2</v>
      </c>
      <c r="L20" s="7" t="n">
        <f aca="false">IF((J20+K20)=0,"",K20/(J20+K20)*100)</f>
        <v>48.8888888888889</v>
      </c>
      <c r="M20" s="8" t="n">
        <f aca="false">IF(OR(A20="District of Columbia",D20=""),NA(),D20)</f>
        <v>23.91</v>
      </c>
      <c r="N20" s="8" t="e">
        <f aca="false">IF(A20="District of Columbia",D20,NA())</f>
        <v>#N/A</v>
      </c>
    </row>
    <row r="21" customFormat="false" ht="15" hidden="false" customHeight="true" outlineLevel="0" collapsed="false">
      <c r="A21" s="4" t="s">
        <v>33</v>
      </c>
      <c r="B21" s="5" t="n">
        <v>64</v>
      </c>
      <c r="C21" s="5" t="n">
        <v>268713</v>
      </c>
      <c r="D21" s="6" t="n">
        <v>13.93</v>
      </c>
      <c r="E21" s="6" t="n">
        <v>14.8</v>
      </c>
      <c r="F21" s="6" t="n">
        <v>6.8</v>
      </c>
      <c r="G21" s="6" t="n">
        <v>7.7</v>
      </c>
      <c r="H21" s="7" t="n">
        <f aca="false">IF((F21+G21)=0,"",G21/(F21+G21)*100)</f>
        <v>53.1034482758621</v>
      </c>
      <c r="I21" s="6" t="n">
        <v>4.6</v>
      </c>
      <c r="J21" s="6" t="n">
        <v>2.7</v>
      </c>
      <c r="K21" s="6" t="n">
        <v>1.6</v>
      </c>
      <c r="L21" s="7" t="n">
        <f aca="false">IF((J21+K21)=0,"",K21/(J21+K21)*100)</f>
        <v>37.2093023255814</v>
      </c>
      <c r="M21" s="8" t="n">
        <f aca="false">IF(OR(A21="District of Columbia",D21=""),NA(),D21)</f>
        <v>13.93</v>
      </c>
      <c r="N21" s="8" t="e">
        <f aca="false">IF(A21="District of Columbia",D21,NA())</f>
        <v>#N/A</v>
      </c>
    </row>
    <row r="22" customFormat="false" ht="15" hidden="false" customHeight="true" outlineLevel="0" collapsed="false">
      <c r="A22" s="4" t="s">
        <v>34</v>
      </c>
      <c r="B22" s="5" t="n">
        <v>48</v>
      </c>
      <c r="C22" s="5" t="n">
        <v>1515671</v>
      </c>
      <c r="D22" s="6" t="n">
        <v>22.13</v>
      </c>
      <c r="E22" s="6" t="n">
        <v>9.6</v>
      </c>
      <c r="F22" s="6" t="n">
        <v>5.7</v>
      </c>
      <c r="G22" s="6" t="n">
        <v>3.9</v>
      </c>
      <c r="H22" s="7" t="n">
        <f aca="false">IF((F22+G22)=0,"",G22/(F22+G22)*100)</f>
        <v>40.625</v>
      </c>
      <c r="I22" s="6" t="n">
        <v>4.1</v>
      </c>
      <c r="J22" s="6" t="n">
        <v>1.9</v>
      </c>
      <c r="K22" s="6" t="n">
        <v>2.2</v>
      </c>
      <c r="L22" s="7" t="n">
        <f aca="false">IF((J22+K22)=0,"",K22/(J22+K22)*100)</f>
        <v>53.6585365853659</v>
      </c>
      <c r="M22" s="8" t="n">
        <f aca="false">IF(OR(A22="District of Columbia",D22=""),NA(),D22)</f>
        <v>22.13</v>
      </c>
      <c r="N22" s="8" t="e">
        <f aca="false">IF(A22="District of Columbia",D22,NA())</f>
        <v>#N/A</v>
      </c>
    </row>
    <row r="23" customFormat="false" ht="15" hidden="false" customHeight="true" outlineLevel="0" collapsed="false">
      <c r="A23" s="4" t="s">
        <v>35</v>
      </c>
      <c r="B23" s="5" t="n">
        <v>49</v>
      </c>
      <c r="C23" s="5" t="n">
        <v>254769</v>
      </c>
      <c r="D23" s="6" t="n">
        <v>35.33</v>
      </c>
      <c r="E23" s="6" t="n">
        <v>10.9</v>
      </c>
      <c r="F23" s="6" t="n">
        <v>5.1</v>
      </c>
      <c r="G23" s="6" t="n">
        <v>5.6</v>
      </c>
      <c r="H23" s="7" t="n">
        <f aca="false">IF((F23+G23)=0,"",G23/(F23+G23)*100)</f>
        <v>52.3364485981308</v>
      </c>
      <c r="I23" s="6" t="n">
        <v>4.4</v>
      </c>
      <c r="J23" s="6" t="n">
        <v>3.2</v>
      </c>
      <c r="K23" s="6" t="n">
        <v>0.8</v>
      </c>
      <c r="L23" s="7" t="n">
        <f aca="false">IF((J23+K23)=0,"",K23/(J23+K23)*100)</f>
        <v>20</v>
      </c>
      <c r="M23" s="8" t="n">
        <f aca="false">IF(OR(A23="District of Columbia",D23=""),NA(),D23)</f>
        <v>35.33</v>
      </c>
      <c r="N23" s="8" t="e">
        <f aca="false">IF(A23="District of Columbia",D23,NA())</f>
        <v>#N/A</v>
      </c>
    </row>
    <row r="24" customFormat="false" ht="15" hidden="false" customHeight="true" outlineLevel="0" collapsed="false">
      <c r="A24" s="4" t="s">
        <v>36</v>
      </c>
      <c r="B24" s="5" t="n">
        <v>234</v>
      </c>
      <c r="C24" s="5" t="n">
        <v>3689920</v>
      </c>
      <c r="D24" s="6" t="n">
        <v>40.34</v>
      </c>
      <c r="E24" s="6" t="n">
        <v>13</v>
      </c>
      <c r="F24" s="6" t="n">
        <v>7.4</v>
      </c>
      <c r="G24" s="6" t="n">
        <v>5.5</v>
      </c>
      <c r="H24" s="7" t="n">
        <f aca="false">IF((F24+G24)=0,"",G24/(F24+G24)*100)</f>
        <v>42.6356589147287</v>
      </c>
      <c r="I24" s="6" t="n">
        <v>4.3</v>
      </c>
      <c r="J24" s="6" t="n">
        <v>2.4</v>
      </c>
      <c r="K24" s="6" t="n">
        <v>1.9</v>
      </c>
      <c r="L24" s="7" t="n">
        <f aca="false">IF((J24+K24)=0,"",K24/(J24+K24)*100)</f>
        <v>44.1860465116279</v>
      </c>
      <c r="M24" s="8" t="n">
        <f aca="false">IF(OR(A24="District of Columbia",D24=""),NA(),D24)</f>
        <v>40.34</v>
      </c>
      <c r="N24" s="8" t="e">
        <f aca="false">IF(A24="District of Columbia",D24,NA())</f>
        <v>#N/A</v>
      </c>
    </row>
    <row r="25" customFormat="false" ht="15" hidden="false" customHeight="true" outlineLevel="0" collapsed="false">
      <c r="A25" s="4" t="s">
        <v>37</v>
      </c>
      <c r="B25" s="5" t="n">
        <v>133</v>
      </c>
      <c r="C25" s="5" t="n">
        <v>2124031</v>
      </c>
      <c r="D25" s="6" t="n">
        <v>29.58</v>
      </c>
      <c r="E25" s="6" t="n">
        <v>11.4</v>
      </c>
      <c r="F25" s="6" t="n">
        <v>5.1</v>
      </c>
      <c r="G25" s="6" t="n">
        <v>6.2</v>
      </c>
      <c r="H25" s="7" t="n">
        <f aca="false">IF((F25+G25)=0,"",G25/(F25+G25)*100)</f>
        <v>54.8672566371681</v>
      </c>
      <c r="I25" s="6" t="n">
        <v>4.3</v>
      </c>
      <c r="J25" s="6" t="n">
        <v>2.6</v>
      </c>
      <c r="K25" s="6" t="n">
        <v>1.7</v>
      </c>
      <c r="L25" s="7" t="n">
        <f aca="false">IF((J25+K25)=0,"",K25/(J25+K25)*100)</f>
        <v>39.5348837209302</v>
      </c>
      <c r="M25" s="8" t="n">
        <f aca="false">IF(OR(A25="District of Columbia",D25=""),NA(),D25)</f>
        <v>29.58</v>
      </c>
      <c r="N25" s="8" t="e">
        <f aca="false">IF(A25="District of Columbia",D25,NA())</f>
        <v>#N/A</v>
      </c>
    </row>
    <row r="26" customFormat="false" ht="15" hidden="false" customHeight="true" outlineLevel="0" collapsed="false">
      <c r="A26" s="4" t="s">
        <v>38</v>
      </c>
      <c r="B26" s="5" t="n">
        <v>85</v>
      </c>
      <c r="C26" s="5" t="n">
        <v>2201829</v>
      </c>
      <c r="D26" s="6" t="n">
        <v>39.22</v>
      </c>
      <c r="E26" s="6" t="n">
        <v>17.9</v>
      </c>
      <c r="F26" s="6" t="n">
        <v>8.1</v>
      </c>
      <c r="G26" s="6" t="n">
        <v>9.8</v>
      </c>
      <c r="H26" s="7" t="n">
        <f aca="false">IF((F26+G26)=0,"",G26/(F26+G26)*100)</f>
        <v>54.7486033519553</v>
      </c>
      <c r="I26" s="6" t="n">
        <v>4.3</v>
      </c>
      <c r="J26" s="6" t="n">
        <v>2.4</v>
      </c>
      <c r="K26" s="6" t="n">
        <v>1.8</v>
      </c>
      <c r="L26" s="7" t="n">
        <f aca="false">IF((J26+K26)=0,"",K26/(J26+K26)*100)</f>
        <v>42.8571428571429</v>
      </c>
      <c r="M26" s="8" t="n">
        <f aca="false">IF(OR(A26="District of Columbia",D26=""),NA(),D26)</f>
        <v>39.22</v>
      </c>
      <c r="N26" s="8" t="e">
        <f aca="false">IF(A26="District of Columbia",D26,NA())</f>
        <v>#N/A</v>
      </c>
    </row>
    <row r="27" customFormat="false" ht="15" hidden="false" customHeight="true" outlineLevel="0" collapsed="false">
      <c r="A27" s="4" t="s">
        <v>39</v>
      </c>
      <c r="B27" s="5" t="n">
        <v>249</v>
      </c>
      <c r="C27" s="5" t="n">
        <v>1969048</v>
      </c>
      <c r="D27" s="6" t="n">
        <v>14.18</v>
      </c>
      <c r="E27" s="6" t="n">
        <v>12.2</v>
      </c>
      <c r="F27" s="6" t="n">
        <v>4.4</v>
      </c>
      <c r="G27" s="6" t="n">
        <v>7.8</v>
      </c>
      <c r="H27" s="7" t="n">
        <f aca="false">IF((F27+G27)=0,"",G27/(F27+G27)*100)</f>
        <v>63.9344262295082</v>
      </c>
      <c r="I27" s="6" t="n">
        <v>5.1</v>
      </c>
      <c r="J27" s="6" t="n">
        <v>2.1</v>
      </c>
      <c r="K27" s="6" t="n">
        <v>3</v>
      </c>
      <c r="L27" s="7" t="n">
        <f aca="false">IF((J27+K27)=0,"",K27/(J27+K27)*100)</f>
        <v>58.8235294117647</v>
      </c>
      <c r="M27" s="8" t="n">
        <f aca="false">IF(OR(A27="District of Columbia",D27=""),NA(),D27)</f>
        <v>14.18</v>
      </c>
      <c r="N27" s="8" t="e">
        <f aca="false">IF(A27="District of Columbia",D27,NA())</f>
        <v>#N/A</v>
      </c>
    </row>
    <row r="28" customFormat="false" ht="15" hidden="false" customHeight="true" outlineLevel="0" collapsed="false">
      <c r="A28" s="4" t="s">
        <v>40</v>
      </c>
      <c r="B28" s="5" t="n">
        <v>106</v>
      </c>
      <c r="C28" s="5" t="n">
        <v>772338</v>
      </c>
      <c r="D28" s="6" t="n">
        <v>32.88</v>
      </c>
      <c r="E28" s="6" t="n">
        <v>14.4</v>
      </c>
      <c r="F28" s="6" t="n">
        <v>6.8</v>
      </c>
      <c r="G28" s="6" t="n">
        <v>7.6</v>
      </c>
      <c r="H28" s="7" t="n">
        <f aca="false">IF((F28+G28)=0,"",G28/(F28+G28)*100)</f>
        <v>52.7777777777778</v>
      </c>
      <c r="I28" s="6" t="n">
        <v>3.7</v>
      </c>
      <c r="J28" s="6" t="n">
        <v>1.4</v>
      </c>
      <c r="K28" s="6" t="n">
        <v>2.3</v>
      </c>
      <c r="L28" s="7" t="n">
        <f aca="false">IF((J28+K28)=0,"",K28/(J28+K28)*100)</f>
        <v>62.1621621621622</v>
      </c>
      <c r="M28" s="8" t="n">
        <f aca="false">IF(OR(A28="District of Columbia",D28=""),NA(),D28)</f>
        <v>32.88</v>
      </c>
      <c r="N28" s="8" t="e">
        <f aca="false">IF(A28="District of Columbia",D28,NA())</f>
        <v>#N/A</v>
      </c>
    </row>
    <row r="29" customFormat="false" ht="15" hidden="false" customHeight="true" outlineLevel="0" collapsed="false">
      <c r="A29" s="4" t="s">
        <v>41</v>
      </c>
      <c r="B29" s="5" t="n">
        <v>84</v>
      </c>
      <c r="C29" s="5" t="n">
        <v>1053091</v>
      </c>
      <c r="D29" s="6" t="n">
        <v>48.31</v>
      </c>
      <c r="E29" s="6" t="n">
        <v>10.5</v>
      </c>
      <c r="F29" s="6" t="n">
        <v>4.5</v>
      </c>
      <c r="G29" s="6" t="n">
        <v>6</v>
      </c>
      <c r="H29" s="7" t="n">
        <f aca="false">IF((F29+G29)=0,"",G29/(F29+G29)*100)</f>
        <v>57.1428571428571</v>
      </c>
      <c r="I29" s="6" t="n">
        <v>3.8</v>
      </c>
      <c r="J29" s="6" t="n">
        <v>2.3</v>
      </c>
      <c r="K29" s="6" t="n">
        <v>1.5</v>
      </c>
      <c r="L29" s="7" t="n">
        <f aca="false">IF((J29+K29)=0,"",K29/(J29+K29)*100)</f>
        <v>39.4736842105263</v>
      </c>
      <c r="M29" s="8" t="n">
        <f aca="false">IF(OR(A29="District of Columbia",D29=""),NA(),D29)</f>
        <v>48.31</v>
      </c>
      <c r="N29" s="8" t="e">
        <f aca="false">IF(A29="District of Columbia",D29,NA())</f>
        <v>#N/A</v>
      </c>
    </row>
    <row r="30" customFormat="false" ht="15" hidden="false" customHeight="true" outlineLevel="0" collapsed="false">
      <c r="A30" s="4" t="s">
        <v>42</v>
      </c>
      <c r="B30" s="5" t="n">
        <v>56</v>
      </c>
      <c r="C30" s="5" t="n">
        <v>1959041</v>
      </c>
      <c r="D30" s="6" t="n">
        <v>20.6</v>
      </c>
      <c r="E30" s="6" t="n">
        <v>8.2</v>
      </c>
      <c r="F30" s="6" t="n">
        <v>4.3</v>
      </c>
      <c r="G30" s="6" t="n">
        <v>3.9</v>
      </c>
      <c r="H30" s="7" t="n">
        <f aca="false">IF((F30+G30)=0,"",G30/(F30+G30)*100)</f>
        <v>47.5609756097561</v>
      </c>
      <c r="I30" s="6" t="n">
        <v>4.8</v>
      </c>
      <c r="J30" s="6" t="n">
        <v>2.1</v>
      </c>
      <c r="K30" s="6" t="n">
        <v>2.7</v>
      </c>
      <c r="L30" s="7" t="n">
        <f aca="false">IF((J30+K30)=0,"",K30/(J30+K30)*100)</f>
        <v>56.25</v>
      </c>
      <c r="M30" s="8" t="n">
        <f aca="false">IF(OR(A30="District of Columbia",D30=""),NA(),D30)</f>
        <v>20.6</v>
      </c>
      <c r="N30" s="8" t="e">
        <f aca="false">IF(A30="District of Columbia",D30,NA())</f>
        <v>#N/A</v>
      </c>
    </row>
    <row r="31" customFormat="false" ht="15" hidden="false" customHeight="true" outlineLevel="0" collapsed="false">
      <c r="A31" s="4" t="s">
        <v>43</v>
      </c>
      <c r="B31" s="5" t="n">
        <v>18</v>
      </c>
      <c r="C31" s="5" t="n">
        <v>91279</v>
      </c>
      <c r="D31" s="6" t="n">
        <v>52.68</v>
      </c>
      <c r="E31" s="6" t="n">
        <v>15.1</v>
      </c>
      <c r="F31" s="6" t="n">
        <v>7.4</v>
      </c>
      <c r="G31" s="6" t="n">
        <v>7.6</v>
      </c>
      <c r="H31" s="7" t="n">
        <f aca="false">IF((F31+G31)=0,"",G31/(F31+G31)*100)</f>
        <v>50.6666666666667</v>
      </c>
      <c r="I31" s="6" t="n">
        <v>4.4</v>
      </c>
      <c r="J31" s="6" t="n">
        <v>3</v>
      </c>
      <c r="K31" s="6" t="n">
        <v>1.3</v>
      </c>
      <c r="L31" s="7" t="n">
        <f aca="false">IF((J31+K31)=0,"",K31/(J31+K31)*100)</f>
        <v>30.2325581395349</v>
      </c>
      <c r="M31" s="8" t="n">
        <f aca="false">IF(OR(A31="District of Columbia",D31=""),NA(),D31)</f>
        <v>52.68</v>
      </c>
      <c r="N31" s="8" t="e">
        <f aca="false">IF(A31="District of Columbia",D31,NA())</f>
        <v>#N/A</v>
      </c>
    </row>
    <row r="32" customFormat="false" ht="15" hidden="false" customHeight="true" outlineLevel="0" collapsed="false">
      <c r="A32" s="4" t="s">
        <v>44</v>
      </c>
      <c r="B32" s="5" t="n">
        <v>38</v>
      </c>
      <c r="C32" s="5" t="n">
        <v>265826</v>
      </c>
      <c r="D32" s="6" t="n">
        <v>60.05</v>
      </c>
      <c r="E32" s="6" t="n">
        <v>10.4</v>
      </c>
      <c r="F32" s="6" t="n">
        <v>4.5</v>
      </c>
      <c r="G32" s="6" t="n">
        <v>5.9</v>
      </c>
      <c r="H32" s="7" t="n">
        <f aca="false">IF((F32+G32)=0,"",G32/(F32+G32)*100)</f>
        <v>56.7307692307692</v>
      </c>
      <c r="I32" s="6" t="n">
        <v>3.3</v>
      </c>
      <c r="J32" s="6" t="n">
        <v>2.4</v>
      </c>
      <c r="K32" s="6" t="n">
        <v>0.9</v>
      </c>
      <c r="L32" s="7" t="n">
        <f aca="false">IF((J32+K32)=0,"",K32/(J32+K32)*100)</f>
        <v>27.2727272727273</v>
      </c>
      <c r="M32" s="8" t="n">
        <f aca="false">IF(OR(A32="District of Columbia",D32=""),NA(),D32)</f>
        <v>60.05</v>
      </c>
      <c r="N32" s="8" t="e">
        <f aca="false">IF(A32="District of Columbia",D32,NA())</f>
        <v>#N/A</v>
      </c>
    </row>
    <row r="33" customFormat="false" ht="15" hidden="false" customHeight="true" outlineLevel="0" collapsed="false">
      <c r="A33" s="4" t="s">
        <v>45</v>
      </c>
      <c r="B33" s="5" t="n">
        <v>94</v>
      </c>
      <c r="C33" s="5" t="n">
        <v>1362121</v>
      </c>
      <c r="D33" s="6" t="n">
        <v>18.99</v>
      </c>
      <c r="E33" s="6" t="n">
        <v>8.7</v>
      </c>
      <c r="F33" s="6" t="n">
        <v>4.2</v>
      </c>
      <c r="G33" s="6" t="n">
        <v>4.5</v>
      </c>
      <c r="H33" s="7" t="n">
        <f aca="false">IF((F33+G33)=0,"",G33/(F33+G33)*100)</f>
        <v>51.7241379310345</v>
      </c>
      <c r="I33" s="6" t="n">
        <v>4.9</v>
      </c>
      <c r="J33" s="6" t="n">
        <v>2.4</v>
      </c>
      <c r="K33" s="6" t="n">
        <v>2.5</v>
      </c>
      <c r="L33" s="7" t="n">
        <f aca="false">IF((J33+K33)=0,"",K33/(J33+K33)*100)</f>
        <v>51.0204081632653</v>
      </c>
      <c r="M33" s="8" t="n">
        <f aca="false">IF(OR(A33="District of Columbia",D33=""),NA(),D33)</f>
        <v>18.99</v>
      </c>
      <c r="N33" s="8" t="e">
        <f aca="false">IF(A33="District of Columbia",D33,NA())</f>
        <v>#N/A</v>
      </c>
    </row>
    <row r="34" customFormat="false" ht="15" hidden="false" customHeight="true" outlineLevel="0" collapsed="false">
      <c r="A34" s="4" t="s">
        <v>46</v>
      </c>
      <c r="B34" s="5" t="n">
        <v>192</v>
      </c>
      <c r="C34" s="5" t="n">
        <v>3667667</v>
      </c>
      <c r="D34" s="6" t="n">
        <v>15.53</v>
      </c>
      <c r="E34" s="6" t="n">
        <v>9.9</v>
      </c>
      <c r="F34" s="6" t="n">
        <v>5.4</v>
      </c>
      <c r="G34" s="6" t="n">
        <v>4.5</v>
      </c>
      <c r="H34" s="7" t="n">
        <f aca="false">IF((F34+G34)=0,"",G34/(F34+G34)*100)</f>
        <v>45.4545454545455</v>
      </c>
      <c r="I34" s="6" t="n">
        <v>5.7</v>
      </c>
      <c r="J34" s="6" t="n">
        <v>3.4</v>
      </c>
      <c r="K34" s="6" t="n">
        <v>2.1</v>
      </c>
      <c r="L34" s="7" t="n">
        <f aca="false">IF((J34+K34)=0,"",K34/(J34+K34)*100)</f>
        <v>38.1818181818182</v>
      </c>
      <c r="M34" s="8" t="n">
        <f aca="false">IF(OR(A34="District of Columbia",D34=""),NA(),D34)</f>
        <v>15.53</v>
      </c>
      <c r="N34" s="8" t="e">
        <f aca="false">IF(A34="District of Columbia",D34,NA())</f>
        <v>#N/A</v>
      </c>
    </row>
    <row r="35" customFormat="false" ht="15" hidden="false" customHeight="true" outlineLevel="0" collapsed="false">
      <c r="A35" s="4" t="s">
        <v>47</v>
      </c>
      <c r="B35" s="5" t="n">
        <v>190</v>
      </c>
      <c r="C35" s="5" t="n">
        <v>3517409</v>
      </c>
      <c r="D35" s="6" t="n">
        <v>11.52</v>
      </c>
      <c r="E35" s="6" t="n">
        <v>14</v>
      </c>
      <c r="F35" s="6" t="n">
        <v>6.2</v>
      </c>
      <c r="G35" s="6" t="n">
        <v>7.8</v>
      </c>
      <c r="H35" s="7" t="n">
        <f aca="false">IF((F35+G35)=0,"",G35/(F35+G35)*100)</f>
        <v>55.7142857142857</v>
      </c>
      <c r="I35" s="6" t="n">
        <v>4.4</v>
      </c>
      <c r="J35" s="6" t="n">
        <v>2</v>
      </c>
      <c r="K35" s="6" t="n">
        <v>2.3</v>
      </c>
      <c r="L35" s="7" t="n">
        <f aca="false">IF((J35+K35)=0,"",K35/(J35+K35)*100)</f>
        <v>53.4883720930233</v>
      </c>
      <c r="M35" s="8" t="n">
        <f aca="false">IF(OR(A35="District of Columbia",D35=""),NA(),D35)</f>
        <v>11.52</v>
      </c>
      <c r="N35" s="8" t="e">
        <f aca="false">IF(A35="District of Columbia",D35,NA())</f>
        <v>#N/A</v>
      </c>
    </row>
    <row r="36" customFormat="false" ht="15" hidden="false" customHeight="true" outlineLevel="0" collapsed="false">
      <c r="A36" s="4" t="s">
        <v>48</v>
      </c>
      <c r="B36" s="5" t="n">
        <v>72</v>
      </c>
      <c r="C36" s="5" t="n">
        <v>285045</v>
      </c>
      <c r="D36" s="6" t="n">
        <v>23.46</v>
      </c>
      <c r="E36" s="6" t="n">
        <v>11.4</v>
      </c>
      <c r="F36" s="6" t="n">
        <v>5.5</v>
      </c>
      <c r="G36" s="6" t="n">
        <v>5.9</v>
      </c>
      <c r="H36" s="7" t="n">
        <f aca="false">IF((F36+G36)=0,"",G36/(F36+G36)*100)</f>
        <v>51.7543859649123</v>
      </c>
      <c r="I36" s="6" t="n">
        <v>2.9</v>
      </c>
      <c r="J36" s="6" t="n">
        <v>2.2</v>
      </c>
      <c r="K36" s="6" t="n">
        <v>0.7</v>
      </c>
      <c r="L36" s="7" t="n">
        <f aca="false">IF((J36+K36)=0,"",K36/(J36+K36)*100)</f>
        <v>24.1379310344828</v>
      </c>
      <c r="M36" s="8" t="n">
        <f aca="false">IF(OR(A36="District of Columbia",D36=""),NA(),D36)</f>
        <v>23.46</v>
      </c>
      <c r="N36" s="8" t="e">
        <f aca="false">IF(A36="District of Columbia",D36,NA())</f>
        <v>#N/A</v>
      </c>
    </row>
    <row r="37" customFormat="false" ht="15" hidden="false" customHeight="true" outlineLevel="0" collapsed="false">
      <c r="A37" s="4" t="s">
        <v>49</v>
      </c>
      <c r="B37" s="5" t="n">
        <v>136</v>
      </c>
      <c r="C37" s="5" t="n">
        <v>4829025</v>
      </c>
      <c r="D37" s="6" t="n">
        <v>30.35</v>
      </c>
      <c r="E37" s="6" t="n">
        <v>12.3</v>
      </c>
      <c r="F37" s="6" t="n">
        <v>5.8</v>
      </c>
      <c r="G37" s="6" t="n">
        <v>6.4</v>
      </c>
      <c r="H37" s="7" t="n">
        <f aca="false">IF((F37+G37)=0,"",G37/(F37+G37)*100)</f>
        <v>52.4590163934426</v>
      </c>
      <c r="I37" s="6" t="n">
        <v>3.1</v>
      </c>
      <c r="J37" s="6" t="n">
        <v>2</v>
      </c>
      <c r="K37" s="6" t="n">
        <v>1.1</v>
      </c>
      <c r="L37" s="7" t="n">
        <f aca="false">IF((J37+K37)=0,"",K37/(J37+K37)*100)</f>
        <v>35.4838709677419</v>
      </c>
      <c r="M37" s="8" t="n">
        <f aca="false">IF(OR(A37="District of Columbia",D37=""),NA(),D37)</f>
        <v>30.35</v>
      </c>
      <c r="N37" s="8" t="e">
        <f aca="false">IF(A37="District of Columbia",D37,NA())</f>
        <v>#N/A</v>
      </c>
    </row>
    <row r="38" customFormat="false" ht="15" hidden="false" customHeight="true" outlineLevel="0" collapsed="false">
      <c r="A38" s="4" t="s">
        <v>50</v>
      </c>
      <c r="B38" s="5" t="n">
        <v>121</v>
      </c>
      <c r="C38" s="5" t="n">
        <v>1857216</v>
      </c>
      <c r="D38" s="6" t="n">
        <v>37.59</v>
      </c>
      <c r="E38" s="6" t="n">
        <v>13.5</v>
      </c>
      <c r="F38" s="6" t="n">
        <v>6.8</v>
      </c>
      <c r="G38" s="6" t="n">
        <v>6.7</v>
      </c>
      <c r="H38" s="7" t="n">
        <f aca="false">IF((F38+G38)=0,"",G38/(F38+G38)*100)</f>
        <v>49.6296296296296</v>
      </c>
      <c r="I38" s="6" t="n">
        <v>4.2</v>
      </c>
      <c r="J38" s="6" t="n">
        <v>2.2</v>
      </c>
      <c r="K38" s="6" t="n">
        <v>2</v>
      </c>
      <c r="L38" s="7" t="n">
        <f aca="false">IF((J38+K38)=0,"",K38/(J38+K38)*100)</f>
        <v>47.6190476190476</v>
      </c>
      <c r="M38" s="8" t="n">
        <f aca="false">IF(OR(A38="District of Columbia",D38=""),NA(),D38)</f>
        <v>37.59</v>
      </c>
      <c r="N38" s="8" t="e">
        <f aca="false">IF(A38="District of Columbia",D38,NA())</f>
        <v>#N/A</v>
      </c>
    </row>
    <row r="39" customFormat="false" ht="15" hidden="false" customHeight="true" outlineLevel="0" collapsed="false">
      <c r="A39" s="4" t="s">
        <v>51</v>
      </c>
      <c r="B39" s="5" t="n">
        <v>128</v>
      </c>
      <c r="C39" s="5" t="n">
        <v>1385607</v>
      </c>
      <c r="D39" s="6" t="n">
        <v>31.07</v>
      </c>
      <c r="E39" s="6" t="n">
        <v>13.7</v>
      </c>
      <c r="F39" s="6" t="n">
        <v>7.4</v>
      </c>
      <c r="G39" s="6" t="n">
        <v>6.2</v>
      </c>
      <c r="H39" s="7" t="n">
        <f aca="false">IF((F39+G39)=0,"",G39/(F39+G39)*100)</f>
        <v>45.5882352941176</v>
      </c>
      <c r="I39" s="6" t="n">
        <v>5.1</v>
      </c>
      <c r="J39" s="6" t="n">
        <v>3.2</v>
      </c>
      <c r="K39" s="6" t="n">
        <v>2</v>
      </c>
      <c r="L39" s="7" t="n">
        <f aca="false">IF((J39+K39)=0,"",K39/(J39+K39)*100)</f>
        <v>38.4615384615385</v>
      </c>
      <c r="M39" s="8" t="n">
        <f aca="false">IF(OR(A39="District of Columbia",D39=""),NA(),D39)</f>
        <v>31.07</v>
      </c>
      <c r="N39" s="8" t="e">
        <f aca="false">IF(A39="District of Columbia",D39,NA())</f>
        <v>#N/A</v>
      </c>
    </row>
    <row r="40" customFormat="false" ht="15" hidden="false" customHeight="true" outlineLevel="0" collapsed="false">
      <c r="A40" s="4" t="s">
        <v>52</v>
      </c>
      <c r="B40" s="5" t="n">
        <v>119</v>
      </c>
      <c r="C40" s="5" t="n">
        <v>850614</v>
      </c>
      <c r="D40" s="6" t="n">
        <v>32.39</v>
      </c>
      <c r="E40" s="6" t="n">
        <v>9.6</v>
      </c>
      <c r="F40" s="6" t="n">
        <v>5.2</v>
      </c>
      <c r="G40" s="6" t="n">
        <v>4.4</v>
      </c>
      <c r="H40" s="7" t="n">
        <f aca="false">IF((F40+G40)=0,"",G40/(F40+G40)*100)</f>
        <v>45.8333333333333</v>
      </c>
      <c r="I40" s="6" t="n">
        <v>4.4</v>
      </c>
      <c r="J40" s="6" t="n">
        <v>2.5</v>
      </c>
      <c r="K40" s="6" t="n">
        <v>1.9</v>
      </c>
      <c r="L40" s="7" t="n">
        <f aca="false">IF((J40+K40)=0,"",K40/(J40+K40)*100)</f>
        <v>43.1818181818182</v>
      </c>
      <c r="M40" s="8" t="n">
        <f aca="false">IF(OR(A40="District of Columbia",D40=""),NA(),D40)</f>
        <v>32.39</v>
      </c>
      <c r="N40" s="8" t="e">
        <f aca="false">IF(A40="District of Columbia",D40,NA())</f>
        <v>#N/A</v>
      </c>
    </row>
    <row r="41" customFormat="false" ht="15" hidden="false" customHeight="true" outlineLevel="0" collapsed="false">
      <c r="A41" s="4" t="s">
        <v>53</v>
      </c>
      <c r="B41" s="5" t="n">
        <v>12</v>
      </c>
      <c r="C41" s="5" t="n">
        <v>394307</v>
      </c>
      <c r="D41" s="6" t="n">
        <v>58.09</v>
      </c>
      <c r="E41" s="6" t="n">
        <v>13</v>
      </c>
      <c r="F41" s="6" t="n">
        <v>6.8</v>
      </c>
      <c r="G41" s="6" t="n">
        <v>6.1</v>
      </c>
      <c r="H41" s="7" t="n">
        <f aca="false">IF((F41+G41)=0,"",G41/(F41+G41)*100)</f>
        <v>47.2868217054264</v>
      </c>
      <c r="I41" s="6" t="n">
        <v>4.4</v>
      </c>
      <c r="J41" s="6" t="n">
        <v>2.3</v>
      </c>
      <c r="K41" s="6" t="n">
        <v>2.1</v>
      </c>
      <c r="L41" s="7" t="n">
        <f aca="false">IF((J41+K41)=0,"",K41/(J41+K41)*100)</f>
        <v>47.7272727272727</v>
      </c>
      <c r="M41" s="8" t="n">
        <f aca="false">IF(OR(A41="District of Columbia",D41=""),NA(),D41)</f>
        <v>58.09</v>
      </c>
      <c r="N41" s="8" t="e">
        <f aca="false">IF(A41="District of Columbia",D41,NA())</f>
        <v>#N/A</v>
      </c>
    </row>
    <row r="42" customFormat="false" ht="15" hidden="false" customHeight="true" outlineLevel="0" collapsed="false">
      <c r="A42" s="4" t="s">
        <v>54</v>
      </c>
      <c r="B42" s="5" t="n">
        <v>73</v>
      </c>
      <c r="C42" s="5" t="n">
        <v>2081830</v>
      </c>
      <c r="D42" s="6" t="n">
        <v>32.61</v>
      </c>
      <c r="E42" s="6" t="n">
        <v>14.4</v>
      </c>
      <c r="F42" s="6" t="n">
        <v>5.9</v>
      </c>
      <c r="G42" s="6" t="n">
        <v>8.4</v>
      </c>
      <c r="H42" s="7" t="n">
        <f aca="false">IF((F42+G42)=0,"",G42/(F42+G42)*100)</f>
        <v>58.7412587412587</v>
      </c>
      <c r="I42" s="6" t="n">
        <v>4</v>
      </c>
      <c r="J42" s="6" t="n">
        <v>2.7</v>
      </c>
      <c r="K42" s="6" t="n">
        <v>1.3</v>
      </c>
      <c r="L42" s="7" t="n">
        <f aca="false">IF((J42+K42)=0,"",K42/(J42+K42)*100)</f>
        <v>32.5</v>
      </c>
      <c r="M42" s="8" t="n">
        <f aca="false">IF(OR(A42="District of Columbia",D42=""),NA(),D42)</f>
        <v>32.61</v>
      </c>
      <c r="N42" s="8" t="e">
        <f aca="false">IF(A42="District of Columbia",D42,NA())</f>
        <v>#N/A</v>
      </c>
      <c r="P42" s="9"/>
    </row>
    <row r="43" customFormat="false" ht="15" hidden="false" customHeight="true" outlineLevel="0" collapsed="false">
      <c r="A43" s="4" t="s">
        <v>55</v>
      </c>
      <c r="B43" s="5" t="n">
        <v>57</v>
      </c>
      <c r="C43" s="5" t="n">
        <v>656336</v>
      </c>
      <c r="D43" s="6" t="n">
        <v>28.75</v>
      </c>
      <c r="E43" s="6" t="n">
        <v>12</v>
      </c>
      <c r="F43" s="6" t="n">
        <v>5</v>
      </c>
      <c r="G43" s="6" t="n">
        <v>6.9</v>
      </c>
      <c r="H43" s="7" t="n">
        <f aca="false">IF((F43+G43)=0,"",G43/(F43+G43)*100)</f>
        <v>57.9831932773109</v>
      </c>
      <c r="I43" s="6" t="n">
        <v>2</v>
      </c>
      <c r="J43" s="6" t="n">
        <v>1.3</v>
      </c>
      <c r="K43" s="6" t="n">
        <v>0.7</v>
      </c>
      <c r="L43" s="7" t="n">
        <f aca="false">IF((J43+K43)=0,"",K43/(J43+K43)*100)</f>
        <v>35</v>
      </c>
      <c r="M43" s="8" t="n">
        <f aca="false">IF(OR(A43="District of Columbia",D43=""),NA(),D43)</f>
        <v>28.75</v>
      </c>
      <c r="N43" s="8" t="e">
        <f aca="false">IF(A43="District of Columbia",D43,NA())</f>
        <v>#N/A</v>
      </c>
    </row>
    <row r="44" customFormat="false" ht="15" hidden="false" customHeight="true" outlineLevel="0" collapsed="false">
      <c r="A44" s="4" t="s">
        <v>56</v>
      </c>
      <c r="B44" s="5" t="n">
        <v>82</v>
      </c>
      <c r="C44" s="5" t="n">
        <v>3014669</v>
      </c>
      <c r="D44" s="6" t="n">
        <v>14.26</v>
      </c>
      <c r="E44" s="6" t="n">
        <v>11.5</v>
      </c>
      <c r="F44" s="6" t="n">
        <v>4.8</v>
      </c>
      <c r="G44" s="6" t="n">
        <v>6.7</v>
      </c>
      <c r="H44" s="7" t="n">
        <f aca="false">IF((F44+G44)=0,"",G44/(F44+G44)*100)</f>
        <v>58.2608695652174</v>
      </c>
      <c r="I44" s="6" t="n">
        <v>3.7</v>
      </c>
      <c r="J44" s="6" t="n">
        <v>2.2</v>
      </c>
      <c r="K44" s="6" t="n">
        <v>1.5</v>
      </c>
      <c r="L44" s="7" t="n">
        <f aca="false">IF((J44+K44)=0,"",K44/(J44+K44)*100)</f>
        <v>40.5405405405405</v>
      </c>
      <c r="M44" s="8" t="n">
        <f aca="false">IF(OR(A44="District of Columbia",D44=""),NA(),D44)</f>
        <v>14.26</v>
      </c>
      <c r="N44" s="8" t="e">
        <f aca="false">IF(A44="District of Columbia",D44,NA())</f>
        <v>#N/A</v>
      </c>
      <c r="P44" s="10" t="s">
        <v>57</v>
      </c>
    </row>
    <row r="45" customFormat="false" ht="15" hidden="false" customHeight="true" outlineLevel="0" collapsed="false">
      <c r="A45" s="4" t="s">
        <v>58</v>
      </c>
      <c r="B45" s="5" t="n">
        <v>376</v>
      </c>
      <c r="C45" s="5" t="n">
        <v>13394321</v>
      </c>
      <c r="D45" s="6" t="n">
        <v>31.36</v>
      </c>
      <c r="E45" s="6" t="n">
        <v>10</v>
      </c>
      <c r="F45" s="6" t="n">
        <v>5.5</v>
      </c>
      <c r="G45" s="6" t="n">
        <v>4.6</v>
      </c>
      <c r="H45" s="7" t="n">
        <f aca="false">IF((F45+G45)=0,"",G45/(F45+G45)*100)</f>
        <v>45.5445544554455</v>
      </c>
      <c r="I45" s="6" t="n">
        <v>4.7</v>
      </c>
      <c r="J45" s="6" t="n">
        <v>2.8</v>
      </c>
      <c r="K45" s="6" t="n">
        <v>1.9</v>
      </c>
      <c r="L45" s="7" t="n">
        <f aca="false">IF((J45+K45)=0,"",K45/(J45+K45)*100)</f>
        <v>40.4255319148936</v>
      </c>
      <c r="M45" s="8" t="n">
        <f aca="false">IF(OR(A45="District of Columbia",D45=""),NA(),D45)</f>
        <v>31.36</v>
      </c>
      <c r="N45" s="8" t="e">
        <f aca="false">IF(A45="District of Columbia",D45,NA())</f>
        <v>#N/A</v>
      </c>
    </row>
    <row r="46" customFormat="false" ht="15" hidden="false" customHeight="true" outlineLevel="0" collapsed="false">
      <c r="A46" s="4" t="s">
        <v>59</v>
      </c>
      <c r="B46" s="5" t="n">
        <v>53</v>
      </c>
      <c r="C46" s="5" t="n">
        <v>2430542</v>
      </c>
      <c r="D46" s="6" t="n">
        <v>53.29</v>
      </c>
      <c r="E46" s="6" t="n">
        <v>12.1</v>
      </c>
      <c r="F46" s="6" t="n">
        <v>5.6</v>
      </c>
      <c r="G46" s="6" t="n">
        <v>6.5</v>
      </c>
      <c r="H46" s="7" t="n">
        <f aca="false">IF((F46+G46)=0,"",G46/(F46+G46)*100)</f>
        <v>53.7190082644628</v>
      </c>
      <c r="I46" s="6" t="n">
        <v>4.2</v>
      </c>
      <c r="J46" s="6" t="n">
        <v>2.9</v>
      </c>
      <c r="K46" s="6" t="n">
        <v>1.3</v>
      </c>
      <c r="L46" s="7" t="n">
        <f aca="false">IF((J46+K46)=0,"",K46/(J46+K46)*100)</f>
        <v>30.952380952381</v>
      </c>
      <c r="M46" s="8" t="n">
        <f aca="false">IF(OR(A46="District of Columbia",D46=""),NA(),D46)</f>
        <v>53.29</v>
      </c>
      <c r="N46" s="8" t="e">
        <f aca="false">IF(A46="District of Columbia",D46,NA())</f>
        <v>#N/A</v>
      </c>
    </row>
    <row r="47" customFormat="false" ht="15" hidden="false" customHeight="true" outlineLevel="0" collapsed="false">
      <c r="A47" s="4" t="s">
        <v>60</v>
      </c>
      <c r="B47" s="5" t="n">
        <v>12</v>
      </c>
      <c r="C47" s="5"/>
      <c r="D47" s="6"/>
      <c r="E47" s="6" t="n">
        <v>14.2</v>
      </c>
      <c r="F47" s="6" t="n">
        <v>5.9</v>
      </c>
      <c r="G47" s="6" t="n">
        <v>8.3</v>
      </c>
      <c r="H47" s="7" t="n">
        <f aca="false">IF((F47+G47)=0,"",G47/(F47+G47)*100)</f>
        <v>58.4507042253521</v>
      </c>
      <c r="I47" s="6" t="n">
        <v>4</v>
      </c>
      <c r="J47" s="6" t="n">
        <v>2.3</v>
      </c>
      <c r="K47" s="6" t="n">
        <v>1.7</v>
      </c>
      <c r="L47" s="7" t="n">
        <f aca="false">IF((J47+K47)=0,"",K47/(J47+K47)*100)</f>
        <v>42.5</v>
      </c>
      <c r="M47" s="8" t="e">
        <f aca="false">IF(OR(A47="District of Columbia",D47=""),NA(),D47)</f>
        <v>#N/A</v>
      </c>
      <c r="N47" s="8" t="e">
        <f aca="false">IF(A47="District of Columbia",D47,NA())</f>
        <v>#N/A</v>
      </c>
    </row>
    <row r="48" customFormat="false" ht="15" hidden="false" customHeight="true" outlineLevel="0" collapsed="false">
      <c r="A48" s="4" t="s">
        <v>61</v>
      </c>
      <c r="B48" s="5" t="n">
        <v>97</v>
      </c>
      <c r="C48" s="5" t="n">
        <v>2341723</v>
      </c>
      <c r="D48" s="6" t="n">
        <v>30.58</v>
      </c>
      <c r="E48" s="6" t="n">
        <v>14.3</v>
      </c>
      <c r="F48" s="6" t="n">
        <v>5.5</v>
      </c>
      <c r="G48" s="6" t="n">
        <v>8.9</v>
      </c>
      <c r="H48" s="7" t="n">
        <f aca="false">IF((F48+G48)=0,"",G48/(F48+G48)*100)</f>
        <v>61.8055555555556</v>
      </c>
      <c r="I48" s="6" t="n">
        <v>4.9</v>
      </c>
      <c r="J48" s="6" t="n">
        <v>3.6</v>
      </c>
      <c r="K48" s="6" t="n">
        <v>1.4</v>
      </c>
      <c r="L48" s="7" t="n">
        <f aca="false">IF((J48+K48)=0,"",K48/(J48+K48)*100)</f>
        <v>28</v>
      </c>
      <c r="M48" s="8" t="n">
        <f aca="false">IF(OR(A48="District of Columbia",D48=""),NA(),D48)</f>
        <v>30.58</v>
      </c>
      <c r="N48" s="8" t="e">
        <f aca="false">IF(A48="District of Columbia",D48,NA())</f>
        <v>#N/A</v>
      </c>
    </row>
    <row r="49" customFormat="false" ht="15" hidden="false" customHeight="true" outlineLevel="0" collapsed="false">
      <c r="A49" s="4" t="s">
        <v>62</v>
      </c>
      <c r="B49" s="5" t="n">
        <v>194</v>
      </c>
      <c r="C49" s="5" t="n">
        <v>3311047</v>
      </c>
      <c r="D49" s="6" t="n">
        <v>17.81</v>
      </c>
      <c r="E49" s="6" t="n">
        <v>8.9</v>
      </c>
      <c r="F49" s="6" t="n">
        <v>4.3</v>
      </c>
      <c r="G49" s="6" t="n">
        <v>4.6</v>
      </c>
      <c r="H49" s="7" t="n">
        <f aca="false">IF((F49+G49)=0,"",G49/(F49+G49)*100)</f>
        <v>51.685393258427</v>
      </c>
      <c r="I49" s="6" t="n">
        <v>4.9</v>
      </c>
      <c r="J49" s="6" t="n">
        <v>2.7</v>
      </c>
      <c r="K49" s="6" t="n">
        <v>2.2</v>
      </c>
      <c r="L49" s="7" t="n">
        <f aca="false">IF((J49+K49)=0,"",K49/(J49+K49)*100)</f>
        <v>44.8979591836735</v>
      </c>
      <c r="M49" s="8" t="n">
        <f aca="false">IF(OR(A49="District of Columbia",D49=""),NA(),D49)</f>
        <v>17.81</v>
      </c>
      <c r="N49" s="8" t="e">
        <f aca="false">IF(A49="District of Columbia",D49,NA())</f>
        <v>#N/A</v>
      </c>
    </row>
    <row r="50" customFormat="false" ht="15" hidden="false" customHeight="true" outlineLevel="0" collapsed="false">
      <c r="A50" s="4" t="s">
        <v>63</v>
      </c>
      <c r="B50" s="5" t="n">
        <v>112</v>
      </c>
      <c r="C50" s="5" t="n">
        <v>765043</v>
      </c>
      <c r="D50" s="6" t="n">
        <v>11.49</v>
      </c>
      <c r="E50" s="6" t="n">
        <v>15.3</v>
      </c>
      <c r="F50" s="6" t="n">
        <v>6.2</v>
      </c>
      <c r="G50" s="6" t="n">
        <v>9.1</v>
      </c>
      <c r="H50" s="7" t="n">
        <f aca="false">IF((F50+G50)=0,"",G50/(F50+G50)*100)</f>
        <v>59.4771241830065</v>
      </c>
      <c r="I50" s="6" t="n">
        <v>4.3</v>
      </c>
      <c r="J50" s="6" t="n">
        <v>2.7</v>
      </c>
      <c r="K50" s="6" t="n">
        <v>1.7</v>
      </c>
      <c r="L50" s="7" t="n">
        <f aca="false">IF((J50+K50)=0,"",K50/(J50+K50)*100)</f>
        <v>38.6363636363636</v>
      </c>
      <c r="M50" s="8" t="n">
        <f aca="false">IF(OR(A50="District of Columbia",D50=""),NA(),D50)</f>
        <v>11.49</v>
      </c>
      <c r="N50" s="8" t="e">
        <f aca="false">IF(A50="District of Columbia",D50,NA())</f>
        <v>#N/A</v>
      </c>
    </row>
    <row r="51" customFormat="false" ht="15" hidden="false" customHeight="true" outlineLevel="0" collapsed="false">
      <c r="A51" s="4" t="s">
        <v>64</v>
      </c>
      <c r="B51" s="5" t="n">
        <v>171</v>
      </c>
      <c r="C51" s="5" t="n">
        <v>1550743</v>
      </c>
      <c r="D51" s="6" t="n">
        <v>41.2</v>
      </c>
      <c r="E51" s="6" t="n">
        <v>11.4</v>
      </c>
      <c r="F51" s="6" t="n">
        <v>5.9</v>
      </c>
      <c r="G51" s="6" t="n">
        <v>5.5</v>
      </c>
      <c r="H51" s="7" t="n">
        <f aca="false">IF((F51+G51)=0,"",G51/(F51+G51)*100)</f>
        <v>48.2456140350877</v>
      </c>
      <c r="I51" s="6" t="n">
        <v>4.3</v>
      </c>
      <c r="J51" s="6" t="n">
        <v>2.9</v>
      </c>
      <c r="K51" s="6" t="n">
        <v>1.5</v>
      </c>
      <c r="L51" s="7" t="n">
        <f aca="false">IF((J51+K51)=0,"",K51/(J51+K51)*100)</f>
        <v>34.0909090909091</v>
      </c>
      <c r="M51" s="8" t="n">
        <f aca="false">IF(OR(A51="District of Columbia",D51=""),NA(),D51)</f>
        <v>41.2</v>
      </c>
      <c r="N51" s="8" t="e">
        <f aca="false">IF(A51="District of Columbia",D51,NA())</f>
        <v>#N/A</v>
      </c>
    </row>
    <row r="52" customFormat="false" ht="15" hidden="false" customHeight="true" outlineLevel="0" collapsed="false">
      <c r="A52" s="4" t="s">
        <v>65</v>
      </c>
      <c r="B52" s="5" t="n">
        <v>22</v>
      </c>
      <c r="C52" s="5" t="n">
        <v>566918</v>
      </c>
      <c r="D52" s="6" t="n">
        <v>41.26</v>
      </c>
      <c r="E52" s="6" t="n">
        <v>11.5</v>
      </c>
      <c r="F52" s="6" t="n">
        <v>5.6</v>
      </c>
      <c r="G52" s="6" t="n">
        <v>5.9</v>
      </c>
      <c r="H52" s="7" t="n">
        <f aca="false">IF((F52+G52)=0,"",G52/(F52+G52)*100)</f>
        <v>51.304347826087</v>
      </c>
      <c r="I52" s="6" t="n">
        <v>3.5</v>
      </c>
      <c r="J52" s="6" t="n">
        <v>1.7</v>
      </c>
      <c r="K52" s="6" t="n">
        <v>1.8</v>
      </c>
      <c r="L52" s="7" t="n">
        <f aca="false">IF((J52+K52)=0,"",K52/(J52+K52)*100)</f>
        <v>51.4285714285714</v>
      </c>
      <c r="M52" s="8" t="n">
        <f aca="false">IF(OR(A52="District of Columbia",D52=""),NA(),D52)</f>
        <v>41.26</v>
      </c>
      <c r="N52" s="8" t="e">
        <f aca="false">IF(A52="District of Columbia",D52,NA())</f>
        <v>#N/A</v>
      </c>
    </row>
    <row r="55" customFormat="false" ht="15" hidden="false" customHeight="true" outlineLevel="0" collapsed="false">
      <c r="A55" s="9" t="s">
        <v>66</v>
      </c>
    </row>
    <row r="56" customFormat="false" ht="15" hidden="false" customHeight="true" outlineLevel="0" collapsed="false">
      <c r="A56" s="9" t="s">
        <v>67</v>
      </c>
    </row>
    <row r="57" customFormat="false" ht="15" hidden="false" customHeight="true" outlineLevel="0" collapsed="false">
      <c r="A57" s="9" t="s">
        <v>68</v>
      </c>
    </row>
    <row r="58" customFormat="false" ht="15" hidden="false" customHeight="true" outlineLevel="0" collapsed="false">
      <c r="A58" s="9" t="s">
        <v>69</v>
      </c>
    </row>
    <row r="60" customFormat="false" ht="15" hidden="false" customHeight="true" outlineLevel="0" collapsed="false">
      <c r="A60" s="9" t="s">
        <v>70</v>
      </c>
    </row>
    <row r="61" customFormat="false" ht="15" hidden="false" customHeight="true" outlineLevel="0" collapsed="false">
      <c r="A61" s="9" t="s">
        <v>71</v>
      </c>
    </row>
    <row r="62" customFormat="false" ht="15" hidden="false" customHeight="false" outlineLevel="0" collapsed="false">
      <c r="A62" s="11" t="s">
        <v>72</v>
      </c>
    </row>
    <row r="63" customFormat="false" ht="15" hidden="false" customHeight="true" outlineLevel="0" collapsed="false">
      <c r="A63" s="9" t="s">
        <v>73</v>
      </c>
    </row>
    <row r="64" customFormat="false" ht="15" hidden="false" customHeight="false" outlineLevel="0" collapsed="false">
      <c r="A64" s="11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6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12"/>
  </cols>
  <sheetData>
    <row r="1" customFormat="false" ht="16.15" hidden="false" customHeight="false" outlineLevel="0" collapsed="false">
      <c r="A1" s="12" t="s">
        <v>75</v>
      </c>
    </row>
    <row r="3" customFormat="false" ht="15" hidden="false" customHeight="false" outlineLevel="0" collapsed="false">
      <c r="A3" s="13" t="s">
        <v>76</v>
      </c>
      <c r="B3" s="13" t="s">
        <v>77</v>
      </c>
      <c r="C3" s="13" t="s">
        <v>78</v>
      </c>
      <c r="D3" s="13" t="s">
        <v>79</v>
      </c>
      <c r="E3" s="13" t="s">
        <v>80</v>
      </c>
      <c r="F3" s="13" t="s">
        <v>81</v>
      </c>
      <c r="G3" s="13" t="s">
        <v>82</v>
      </c>
    </row>
    <row r="4" customFormat="false" ht="15" hidden="false" customHeight="false" outlineLevel="0" collapsed="false">
      <c r="A4" s="14" t="s">
        <v>83</v>
      </c>
      <c r="B4" s="14" t="s">
        <v>84</v>
      </c>
      <c r="C4" s="15" t="n">
        <v>50</v>
      </c>
      <c r="D4" s="16" t="n">
        <v>-0.094</v>
      </c>
      <c r="E4" s="16" t="n">
        <v>0.516</v>
      </c>
      <c r="F4" s="16" t="n">
        <v>-0.137</v>
      </c>
      <c r="G4" s="16" t="n">
        <v>0.344</v>
      </c>
    </row>
    <row r="5" customFormat="false" ht="15" hidden="false" customHeight="false" outlineLevel="0" collapsed="false">
      <c r="A5" s="14" t="s">
        <v>83</v>
      </c>
      <c r="B5" s="14" t="s">
        <v>85</v>
      </c>
      <c r="C5" s="15" t="n">
        <v>49</v>
      </c>
      <c r="D5" s="16" t="n">
        <v>-0.168</v>
      </c>
      <c r="E5" s="16" t="n">
        <v>0.248</v>
      </c>
      <c r="F5" s="16" t="n">
        <v>-0.199</v>
      </c>
      <c r="G5" s="16" t="n">
        <v>0.171</v>
      </c>
    </row>
    <row r="6" customFormat="false" ht="15" hidden="false" customHeight="false" outlineLevel="0" collapsed="false">
      <c r="A6" s="14" t="s">
        <v>86</v>
      </c>
      <c r="B6" s="14" t="s">
        <v>84</v>
      </c>
      <c r="C6" s="15" t="n">
        <v>50</v>
      </c>
      <c r="D6" s="16" t="n">
        <v>-0.293</v>
      </c>
      <c r="E6" s="16" t="n">
        <v>0.039</v>
      </c>
      <c r="F6" s="16" t="n">
        <v>-0.241</v>
      </c>
      <c r="G6" s="16" t="n">
        <v>0.092</v>
      </c>
    </row>
    <row r="7" customFormat="false" ht="15" hidden="false" customHeight="false" outlineLevel="0" collapsed="false">
      <c r="A7" s="14" t="s">
        <v>86</v>
      </c>
      <c r="B7" s="14" t="s">
        <v>85</v>
      </c>
      <c r="C7" s="15" t="n">
        <v>49</v>
      </c>
      <c r="D7" s="16" t="n">
        <v>-0.231</v>
      </c>
      <c r="E7" s="16" t="n">
        <v>0.11</v>
      </c>
      <c r="F7" s="16" t="n">
        <v>-0.197</v>
      </c>
      <c r="G7" s="16" t="n">
        <v>0.175</v>
      </c>
    </row>
    <row r="9" customFormat="false" ht="15" hidden="false" customHeight="false" outlineLevel="0" collapsed="false">
      <c r="A9" s="17" t="s">
        <v>87</v>
      </c>
    </row>
    <row r="10" customFormat="false" ht="15" hidden="false" customHeight="false" outlineLevel="0" collapsed="false">
      <c r="A10" s="18" t="s">
        <v>88</v>
      </c>
    </row>
    <row r="11" customFormat="false" ht="15" hidden="false" customHeight="false" outlineLevel="0" collapsed="false">
      <c r="A11" s="18" t="s">
        <v>89</v>
      </c>
    </row>
    <row r="12" customFormat="false" ht="15" hidden="false" customHeight="false" outlineLevel="0" collapsed="false">
      <c r="A12" s="18" t="s">
        <v>90</v>
      </c>
    </row>
    <row r="13" customFormat="false" ht="15" hidden="false" customHeight="false" outlineLevel="0" collapsed="false">
      <c r="A13" s="18" t="s">
        <v>91</v>
      </c>
    </row>
    <row r="14" customFormat="false" ht="15" hidden="false" customHeight="false" outlineLevel="0" collapsed="false">
      <c r="A14" s="18" t="s">
        <v>92</v>
      </c>
    </row>
    <row r="15" customFormat="false" ht="15" hidden="false" customHeight="false" outlineLevel="0" collapsed="false">
      <c r="A15" s="18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2026-09-29T16:19:05Z</dcterms:created>
  <dc:creator>openpyxl</dc:creator>
  <dc:description/>
  <dc:language>en-US</dc:language>
  <cp:lastModifiedBy/>
  <dcterms:modified xsi:type="dcterms:W3CDTF">2026-09-29T17:29:53Z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